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yam\Downloads\"/>
    </mc:Choice>
  </mc:AlternateContent>
  <xr:revisionPtr revIDLastSave="0" documentId="13_ncr:1_{7A5A316A-249D-4549-B33E-B905028A35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tch Summary " sheetId="1" r:id="rId1"/>
    <sheet name="Batting Scorecard" sheetId="2" r:id="rId2"/>
    <sheet name="Bowling Scorecard" sheetId="3" r:id="rId3"/>
    <sheet name="Points Table" sheetId="4" r:id="rId4"/>
  </sheets>
  <definedNames>
    <definedName name="_xlnm._FilterDatabase" localSheetId="1" hidden="1">'Batting Scorecard'!$A$1:$G$101</definedName>
    <definedName name="_xlnm._FilterDatabase" localSheetId="2" hidden="1">'Bowling Scorecard'!$B$1:$H$80</definedName>
    <definedName name="_xlnm._FilterDatabase" localSheetId="0" hidden="1">'Match Summary '!$A$1:$Q$15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7" i="2" l="1"/>
  <c r="G98" i="2"/>
  <c r="G99" i="2"/>
  <c r="G100" i="2"/>
  <c r="G101" i="2"/>
  <c r="G91" i="2"/>
  <c r="G92" i="2"/>
  <c r="G93" i="2"/>
  <c r="G94" i="2"/>
  <c r="G95" i="2"/>
  <c r="G96" i="2"/>
  <c r="G85" i="2"/>
  <c r="G86" i="2"/>
  <c r="G87" i="2"/>
  <c r="G88" i="2"/>
  <c r="G89" i="2"/>
  <c r="G90" i="2"/>
  <c r="G75" i="2"/>
  <c r="G76" i="2"/>
  <c r="G77" i="2"/>
  <c r="G78" i="2"/>
  <c r="G79" i="2"/>
  <c r="G80" i="2"/>
  <c r="G81" i="2"/>
  <c r="G82" i="2"/>
  <c r="G83" i="2"/>
  <c r="G84" i="2"/>
  <c r="G74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46" i="2"/>
  <c r="G36" i="3"/>
  <c r="G37" i="3"/>
  <c r="G38" i="3"/>
  <c r="G39" i="3"/>
  <c r="G40" i="3"/>
  <c r="G41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2" i="3"/>
  <c r="G44" i="2"/>
  <c r="G36" i="2"/>
  <c r="G37" i="2"/>
  <c r="G38" i="2"/>
  <c r="G39" i="2"/>
  <c r="G40" i="2"/>
  <c r="G41" i="2"/>
  <c r="G42" i="2"/>
  <c r="G43" i="2"/>
  <c r="G45" i="2"/>
  <c r="G29" i="2"/>
  <c r="G30" i="2"/>
  <c r="G31" i="2"/>
  <c r="G32" i="2"/>
  <c r="G33" i="2"/>
  <c r="G34" i="2"/>
  <c r="G35" i="2"/>
  <c r="G23" i="2"/>
  <c r="G24" i="2"/>
  <c r="G25" i="2"/>
  <c r="G26" i="2"/>
  <c r="G27" i="2"/>
  <c r="G28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" i="2"/>
</calcChain>
</file>

<file path=xl/sharedStrings.xml><?xml version="1.0" encoding="utf-8"?>
<sst xmlns="http://schemas.openxmlformats.org/spreadsheetml/2006/main" count="312" uniqueCount="84">
  <si>
    <t>Match No.</t>
  </si>
  <si>
    <t>Date</t>
  </si>
  <si>
    <t>Opponent</t>
  </si>
  <si>
    <t>Venue</t>
  </si>
  <si>
    <t>Toss Won</t>
  </si>
  <si>
    <t>RCB Score</t>
  </si>
  <si>
    <t>Opponent Score</t>
  </si>
  <si>
    <t>RCB Wickets</t>
  </si>
  <si>
    <t>Opp Wickets</t>
  </si>
  <si>
    <t>Result</t>
  </si>
  <si>
    <t>Home/Away</t>
  </si>
  <si>
    <t>Win by Type</t>
  </si>
  <si>
    <t>Runs/Wickets</t>
  </si>
  <si>
    <t>Points</t>
  </si>
  <si>
    <t>RCB Played (Overs)</t>
  </si>
  <si>
    <t>Opp Played (Overs)</t>
  </si>
  <si>
    <t>NRR</t>
  </si>
  <si>
    <t>SRH</t>
  </si>
  <si>
    <t>M Chinnaswamy Stadium, Bengaluru</t>
  </si>
  <si>
    <t>Won</t>
  </si>
  <si>
    <t>Win</t>
  </si>
  <si>
    <t>Home</t>
  </si>
  <si>
    <t>Wickets</t>
  </si>
  <si>
    <t>6 Wickets</t>
  </si>
  <si>
    <t>CSK</t>
  </si>
  <si>
    <t>Loss</t>
  </si>
  <si>
    <t>Runs</t>
  </si>
  <si>
    <t>43 Runs</t>
  </si>
  <si>
    <t>RR</t>
  </si>
  <si>
    <t>Barsapara Cricket Stadium, Guwahati</t>
  </si>
  <si>
    <t>Away</t>
  </si>
  <si>
    <t>MI</t>
  </si>
  <si>
    <t>Wankhede Stadium, Mumbai</t>
  </si>
  <si>
    <t>18 Runs</t>
  </si>
  <si>
    <t>LSG</t>
  </si>
  <si>
    <t>BRSABV Ekana Cricket Stadium, Lucknow</t>
  </si>
  <si>
    <t>5 Wickets</t>
  </si>
  <si>
    <t>DC</t>
  </si>
  <si>
    <t>GT</t>
  </si>
  <si>
    <t>Arun Jaitley Stadium, Delhi</t>
  </si>
  <si>
    <t>9 Wickets</t>
  </si>
  <si>
    <t>Narendra Modi Stadium, Ahmedabad</t>
  </si>
  <si>
    <t>4 Wickets</t>
  </si>
  <si>
    <t>9 Runs (DLS)</t>
  </si>
  <si>
    <t>2 Wickets</t>
  </si>
  <si>
    <t>KKR</t>
  </si>
  <si>
    <t>PBKS</t>
  </si>
  <si>
    <t>Maharaja Yadavindra Singh International Cricket Stadium, Mullanpur</t>
  </si>
  <si>
    <t>23 Runs</t>
  </si>
  <si>
    <t>Rajiv Gandhi International Cricket Stadium, Hyderabad</t>
  </si>
  <si>
    <t>55 Runs</t>
  </si>
  <si>
    <t>Match No</t>
  </si>
  <si>
    <t>Player</t>
  </si>
  <si>
    <t>Balls</t>
  </si>
  <si>
    <t>4s</t>
  </si>
  <si>
    <t>6s</t>
  </si>
  <si>
    <t>Strike Rate</t>
  </si>
  <si>
    <t>Phil Salt</t>
  </si>
  <si>
    <t>Virat Kohli</t>
  </si>
  <si>
    <t>Devdutt Padikkal</t>
  </si>
  <si>
    <t>Jitesh Sharma (wk)</t>
  </si>
  <si>
    <t>Tim David</t>
  </si>
  <si>
    <t>Krunal Pandya</t>
  </si>
  <si>
    <t>Bowler</t>
  </si>
  <si>
    <t>Overs</t>
  </si>
  <si>
    <t>Maiden</t>
  </si>
  <si>
    <t>Runs Given</t>
  </si>
  <si>
    <t>Economy</t>
  </si>
  <si>
    <t>Dots</t>
  </si>
  <si>
    <t>Jacob Duffy</t>
  </si>
  <si>
    <t>Bhuvneshwar Kumar</t>
  </si>
  <si>
    <t>Abhinandan Singh</t>
  </si>
  <si>
    <t>Romario Shepherd</t>
  </si>
  <si>
    <t>Suyash Sharma</t>
  </si>
  <si>
    <t>Krunal Pandya </t>
  </si>
  <si>
    <t>Romario Shepherd </t>
  </si>
  <si>
    <t>Venkatesh Iyer </t>
  </si>
  <si>
    <t>Bhuvneshwar Kumar </t>
  </si>
  <si>
    <t>Rasikh Salam</t>
  </si>
  <si>
    <t>Josh Hazlewood</t>
  </si>
  <si>
    <t>Rasikh Salam </t>
  </si>
  <si>
    <t>Jacob Bethell </t>
  </si>
  <si>
    <t>Josh Hazlewood </t>
  </si>
  <si>
    <t xml:space="preserve">Rajat Patidar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</si>
</sst>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rgb="FF1A7A3C"/>
      <name val="Segoe UI"/>
      <family val="2"/>
    </font>
    <font>
      <sz val="10"/>
      <color rgb="FF8B0000"/>
      <name val="Segoe UI"/>
      <family val="2"/>
    </font>
    <font>
      <sz val="1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BF012E"/>
        <bgColor indexed="64"/>
      </patternFill>
    </fill>
    <fill>
      <patternFill patternType="solid">
        <fgColor rgb="FFC8102E"/>
      </patternFill>
    </fill>
    <fill>
      <patternFill patternType="solid">
        <fgColor rgb="FFD4EDDA"/>
      </patternFill>
    </fill>
    <fill>
      <patternFill patternType="solid">
        <fgColor rgb="FFF8D7DA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4.5" x14ac:dyDescent="0.35"/>
  <cols>
    <col min="1" max="1" width="10" customWidth="1"/>
    <col min="2" max="2" width="13" bestFit="1" customWidth="1"/>
    <col min="3" max="3" width="8" bestFit="1" customWidth="1"/>
    <col min="4" max="4" width="42" bestFit="1" customWidth="1"/>
    <col min="5" max="5" width="10" customWidth="1"/>
    <col min="6" max="6" width="11" customWidth="1"/>
    <col min="7" max="7" width="14" customWidth="1"/>
    <col min="8" max="8" width="13" customWidth="1"/>
    <col min="9" max="9" width="12" customWidth="1"/>
    <col min="10" max="10" width="8" customWidth="1"/>
    <col min="11" max="11" width="11" customWidth="1"/>
    <col min="12" max="12" width="12" customWidth="1"/>
    <col min="13" max="13" width="14" customWidth="1"/>
    <col min="14" max="14" width="8" customWidth="1"/>
    <col min="15" max="16" width="18" customWidth="1"/>
    <col min="17" max="17" width="10" customWidth="1"/>
    <col min="18" max="18" width="13.08984375" customWidth="1"/>
  </cols>
  <sheetData>
    <row r="1" spans="1:18" ht="28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/>
    </row>
    <row r="2" spans="1:18" ht="20" customHeight="1" x14ac:dyDescent="0.35">
      <c r="A2" s="3">
        <v>1</v>
      </c>
      <c r="B2" s="4">
        <v>46109</v>
      </c>
      <c r="C2" s="3" t="s">
        <v>17</v>
      </c>
      <c r="D2" s="3" t="s">
        <v>18</v>
      </c>
      <c r="E2" s="3" t="s">
        <v>19</v>
      </c>
      <c r="F2" s="3">
        <v>203</v>
      </c>
      <c r="G2" s="3">
        <v>201</v>
      </c>
      <c r="H2" s="3">
        <v>4</v>
      </c>
      <c r="I2" s="3">
        <v>9</v>
      </c>
      <c r="J2" s="3" t="s">
        <v>20</v>
      </c>
      <c r="K2" s="3" t="s">
        <v>21</v>
      </c>
      <c r="L2" s="3" t="s">
        <v>22</v>
      </c>
      <c r="M2" s="3" t="s">
        <v>23</v>
      </c>
      <c r="N2" s="3">
        <v>2</v>
      </c>
      <c r="O2" s="3">
        <v>15.4</v>
      </c>
      <c r="P2" s="3">
        <v>20</v>
      </c>
      <c r="Q2" s="3">
        <v>2.91</v>
      </c>
    </row>
    <row r="3" spans="1:18" ht="20" customHeight="1" x14ac:dyDescent="0.35">
      <c r="A3" s="3">
        <v>2</v>
      </c>
      <c r="B3" s="4">
        <v>46117</v>
      </c>
      <c r="C3" s="3" t="s">
        <v>24</v>
      </c>
      <c r="D3" s="3" t="s">
        <v>18</v>
      </c>
      <c r="E3" s="3" t="s">
        <v>25</v>
      </c>
      <c r="F3" s="3">
        <v>250</v>
      </c>
      <c r="G3" s="3">
        <v>207</v>
      </c>
      <c r="H3" s="3">
        <v>3</v>
      </c>
      <c r="I3" s="3">
        <v>10</v>
      </c>
      <c r="J3" s="3" t="s">
        <v>20</v>
      </c>
      <c r="K3" s="3" t="s">
        <v>21</v>
      </c>
      <c r="L3" s="3" t="s">
        <v>26</v>
      </c>
      <c r="M3" s="3" t="s">
        <v>27</v>
      </c>
      <c r="N3" s="3">
        <v>2</v>
      </c>
      <c r="O3" s="3">
        <v>20</v>
      </c>
      <c r="P3" s="3">
        <v>19.399999999999999</v>
      </c>
      <c r="Q3" s="3">
        <v>2.67</v>
      </c>
    </row>
    <row r="4" spans="1:18" ht="20" customHeight="1" x14ac:dyDescent="0.35">
      <c r="A4" s="5">
        <v>3</v>
      </c>
      <c r="B4" s="6">
        <v>46122</v>
      </c>
      <c r="C4" s="5" t="s">
        <v>28</v>
      </c>
      <c r="D4" s="5" t="s">
        <v>29</v>
      </c>
      <c r="E4" s="5" t="s">
        <v>19</v>
      </c>
      <c r="F4" s="5">
        <v>201</v>
      </c>
      <c r="G4" s="5">
        <v>202</v>
      </c>
      <c r="H4" s="5">
        <v>8</v>
      </c>
      <c r="I4" s="5">
        <v>4</v>
      </c>
      <c r="J4" s="5" t="s">
        <v>25</v>
      </c>
      <c r="K4" s="5" t="s">
        <v>30</v>
      </c>
      <c r="L4" s="5" t="s">
        <v>22</v>
      </c>
      <c r="M4" s="5" t="s">
        <v>23</v>
      </c>
      <c r="N4" s="5">
        <v>0</v>
      </c>
      <c r="O4" s="5">
        <v>20</v>
      </c>
      <c r="P4" s="5">
        <v>18</v>
      </c>
      <c r="Q4" s="5">
        <v>-0.85</v>
      </c>
    </row>
    <row r="5" spans="1:18" ht="20" customHeight="1" x14ac:dyDescent="0.35">
      <c r="A5" s="3">
        <v>4</v>
      </c>
      <c r="B5" s="4">
        <v>46124</v>
      </c>
      <c r="C5" s="3" t="s">
        <v>31</v>
      </c>
      <c r="D5" s="3" t="s">
        <v>32</v>
      </c>
      <c r="E5" s="3" t="s">
        <v>19</v>
      </c>
      <c r="F5" s="3">
        <v>240</v>
      </c>
      <c r="G5" s="3">
        <v>222</v>
      </c>
      <c r="H5" s="3">
        <v>4</v>
      </c>
      <c r="I5" s="3">
        <v>5</v>
      </c>
      <c r="J5" s="3" t="s">
        <v>20</v>
      </c>
      <c r="K5" s="3" t="s">
        <v>30</v>
      </c>
      <c r="L5" s="3" t="s">
        <v>26</v>
      </c>
      <c r="M5" s="3" t="s">
        <v>33</v>
      </c>
      <c r="N5" s="3">
        <v>2</v>
      </c>
      <c r="O5" s="3">
        <v>20</v>
      </c>
      <c r="P5" s="3">
        <v>20</v>
      </c>
      <c r="Q5" s="3">
        <v>1.44</v>
      </c>
    </row>
    <row r="6" spans="1:18" ht="20" customHeight="1" x14ac:dyDescent="0.35">
      <c r="A6" s="3">
        <v>5</v>
      </c>
      <c r="B6" s="4">
        <v>46128</v>
      </c>
      <c r="C6" s="3" t="s">
        <v>34</v>
      </c>
      <c r="D6" s="3" t="s">
        <v>35</v>
      </c>
      <c r="E6" s="3" t="s">
        <v>25</v>
      </c>
      <c r="F6" s="3">
        <v>149</v>
      </c>
      <c r="G6" s="3">
        <v>146</v>
      </c>
      <c r="H6" s="3">
        <v>5</v>
      </c>
      <c r="I6" s="3">
        <v>10</v>
      </c>
      <c r="J6" s="3" t="s">
        <v>20</v>
      </c>
      <c r="K6" s="3" t="s">
        <v>30</v>
      </c>
      <c r="L6" s="3" t="s">
        <v>22</v>
      </c>
      <c r="M6" s="3" t="s">
        <v>36</v>
      </c>
      <c r="N6" s="3">
        <v>2</v>
      </c>
      <c r="O6" s="3">
        <v>18.2</v>
      </c>
      <c r="P6" s="3">
        <v>20</v>
      </c>
      <c r="Q6" s="3">
        <v>1.71</v>
      </c>
    </row>
    <row r="7" spans="1:18" ht="20" customHeight="1" x14ac:dyDescent="0.35">
      <c r="A7" s="5">
        <v>6</v>
      </c>
      <c r="B7" s="6">
        <v>46130</v>
      </c>
      <c r="C7" s="5" t="s">
        <v>37</v>
      </c>
      <c r="D7" s="5" t="s">
        <v>18</v>
      </c>
      <c r="E7" s="5" t="s">
        <v>19</v>
      </c>
      <c r="F7" s="5">
        <v>175</v>
      </c>
      <c r="G7" s="5">
        <v>179</v>
      </c>
      <c r="H7" s="5">
        <v>8</v>
      </c>
      <c r="I7" s="5">
        <v>4</v>
      </c>
      <c r="J7" s="5" t="s">
        <v>25</v>
      </c>
      <c r="K7" s="5" t="s">
        <v>21</v>
      </c>
      <c r="L7" s="5" t="s">
        <v>22</v>
      </c>
      <c r="M7" s="5" t="s">
        <v>23</v>
      </c>
      <c r="N7" s="5">
        <v>0</v>
      </c>
      <c r="O7" s="5">
        <v>20</v>
      </c>
      <c r="P7" s="5">
        <v>19.2</v>
      </c>
      <c r="Q7" s="5">
        <v>0.94</v>
      </c>
    </row>
    <row r="8" spans="1:18" ht="20" customHeight="1" x14ac:dyDescent="0.35">
      <c r="A8" s="3">
        <v>7</v>
      </c>
      <c r="B8" s="4">
        <v>46136</v>
      </c>
      <c r="C8" s="3" t="s">
        <v>38</v>
      </c>
      <c r="D8" s="3" t="s">
        <v>18</v>
      </c>
      <c r="E8" s="3" t="s">
        <v>25</v>
      </c>
      <c r="F8" s="3">
        <v>206</v>
      </c>
      <c r="G8" s="3">
        <v>205</v>
      </c>
      <c r="H8" s="3">
        <v>5</v>
      </c>
      <c r="I8" s="3">
        <v>3</v>
      </c>
      <c r="J8" s="3" t="s">
        <v>20</v>
      </c>
      <c r="K8" s="3" t="s">
        <v>21</v>
      </c>
      <c r="L8" s="3" t="s">
        <v>22</v>
      </c>
      <c r="M8" s="3" t="s">
        <v>36</v>
      </c>
      <c r="N8" s="3">
        <v>2</v>
      </c>
      <c r="O8" s="3">
        <v>18.5</v>
      </c>
      <c r="P8" s="3">
        <v>20</v>
      </c>
      <c r="Q8" s="3">
        <v>1.1000000000000001</v>
      </c>
    </row>
    <row r="9" spans="1:18" ht="20" customHeight="1" x14ac:dyDescent="0.35">
      <c r="A9" s="3">
        <v>8</v>
      </c>
      <c r="B9" s="4">
        <v>46138</v>
      </c>
      <c r="C9" s="3" t="s">
        <v>37</v>
      </c>
      <c r="D9" s="3" t="s">
        <v>39</v>
      </c>
      <c r="E9" s="3" t="s">
        <v>25</v>
      </c>
      <c r="F9" s="3">
        <v>77</v>
      </c>
      <c r="G9" s="3">
        <v>75</v>
      </c>
      <c r="H9" s="3">
        <v>1</v>
      </c>
      <c r="I9" s="3">
        <v>10</v>
      </c>
      <c r="J9" s="3" t="s">
        <v>20</v>
      </c>
      <c r="K9" s="3" t="s">
        <v>30</v>
      </c>
      <c r="L9" s="3" t="s">
        <v>22</v>
      </c>
      <c r="M9" s="3" t="s">
        <v>40</v>
      </c>
      <c r="N9" s="3">
        <v>2</v>
      </c>
      <c r="O9" s="3">
        <v>14.5</v>
      </c>
      <c r="P9" s="3">
        <v>20</v>
      </c>
      <c r="Q9" s="3">
        <v>1.78</v>
      </c>
    </row>
    <row r="10" spans="1:18" ht="20" customHeight="1" x14ac:dyDescent="0.35">
      <c r="A10" s="5">
        <v>9</v>
      </c>
      <c r="B10" s="6">
        <v>46142</v>
      </c>
      <c r="C10" s="5" t="s">
        <v>38</v>
      </c>
      <c r="D10" s="5" t="s">
        <v>41</v>
      </c>
      <c r="E10" s="5" t="s">
        <v>19</v>
      </c>
      <c r="F10" s="5">
        <v>155</v>
      </c>
      <c r="G10" s="5">
        <v>158</v>
      </c>
      <c r="H10" s="5">
        <v>10</v>
      </c>
      <c r="I10" s="5">
        <v>6</v>
      </c>
      <c r="J10" s="5" t="s">
        <v>25</v>
      </c>
      <c r="K10" s="5" t="s">
        <v>30</v>
      </c>
      <c r="L10" s="5" t="s">
        <v>22</v>
      </c>
      <c r="M10" s="5" t="s">
        <v>42</v>
      </c>
      <c r="N10" s="5">
        <v>0</v>
      </c>
      <c r="O10" s="5">
        <v>20</v>
      </c>
      <c r="P10" s="5">
        <v>16.100000000000001</v>
      </c>
      <c r="Q10" s="5">
        <v>0.92</v>
      </c>
    </row>
    <row r="11" spans="1:18" ht="20" customHeight="1" x14ac:dyDescent="0.35">
      <c r="A11" s="5">
        <v>10</v>
      </c>
      <c r="B11" s="6">
        <v>46149</v>
      </c>
      <c r="C11" s="5" t="s">
        <v>34</v>
      </c>
      <c r="D11" s="5" t="s">
        <v>35</v>
      </c>
      <c r="E11" s="5" t="s">
        <v>19</v>
      </c>
      <c r="F11" s="5">
        <v>203</v>
      </c>
      <c r="G11" s="5">
        <v>209</v>
      </c>
      <c r="H11" s="5">
        <v>6</v>
      </c>
      <c r="I11" s="5">
        <v>3</v>
      </c>
      <c r="J11" s="5" t="s">
        <v>25</v>
      </c>
      <c r="K11" s="5" t="s">
        <v>30</v>
      </c>
      <c r="L11" s="5" t="s">
        <v>26</v>
      </c>
      <c r="M11" s="5" t="s">
        <v>43</v>
      </c>
      <c r="N11" s="5">
        <v>0</v>
      </c>
      <c r="O11" s="5">
        <v>19</v>
      </c>
      <c r="P11" s="5">
        <v>19</v>
      </c>
      <c r="Q11" s="5">
        <v>-0.3</v>
      </c>
    </row>
    <row r="12" spans="1:18" ht="20" customHeight="1" x14ac:dyDescent="0.35">
      <c r="A12" s="3">
        <v>11</v>
      </c>
      <c r="B12" s="4">
        <v>46152</v>
      </c>
      <c r="C12" s="3" t="s">
        <v>31</v>
      </c>
      <c r="D12" s="3" t="s">
        <v>32</v>
      </c>
      <c r="E12" s="3" t="s">
        <v>25</v>
      </c>
      <c r="F12" s="3">
        <v>167</v>
      </c>
      <c r="G12" s="3">
        <v>166</v>
      </c>
      <c r="H12" s="3">
        <v>8</v>
      </c>
      <c r="I12" s="3">
        <v>7</v>
      </c>
      <c r="J12" s="3" t="s">
        <v>20</v>
      </c>
      <c r="K12" s="3" t="s">
        <v>30</v>
      </c>
      <c r="L12" s="3" t="s">
        <v>22</v>
      </c>
      <c r="M12" s="3" t="s">
        <v>44</v>
      </c>
      <c r="N12" s="3">
        <v>2</v>
      </c>
      <c r="O12" s="3">
        <v>20</v>
      </c>
      <c r="P12" s="3">
        <v>20</v>
      </c>
      <c r="Q12" s="3">
        <v>1.05</v>
      </c>
    </row>
    <row r="13" spans="1:18" ht="20" customHeight="1" x14ac:dyDescent="0.35">
      <c r="A13" s="3">
        <v>12</v>
      </c>
      <c r="B13" s="4">
        <v>46155</v>
      </c>
      <c r="C13" s="3" t="s">
        <v>45</v>
      </c>
      <c r="D13" s="3" t="s">
        <v>18</v>
      </c>
      <c r="E13" s="3" t="s">
        <v>19</v>
      </c>
      <c r="F13" s="3">
        <v>194</v>
      </c>
      <c r="G13" s="3">
        <v>192</v>
      </c>
      <c r="H13" s="3">
        <v>4</v>
      </c>
      <c r="I13" s="3">
        <v>4</v>
      </c>
      <c r="J13" s="3" t="s">
        <v>20</v>
      </c>
      <c r="K13" s="3" t="s">
        <v>21</v>
      </c>
      <c r="L13" s="3" t="s">
        <v>22</v>
      </c>
      <c r="M13" s="3" t="s">
        <v>23</v>
      </c>
      <c r="N13" s="3">
        <v>2</v>
      </c>
      <c r="O13" s="3">
        <v>19.100000000000001</v>
      </c>
      <c r="P13" s="3">
        <v>20</v>
      </c>
      <c r="Q13" s="3">
        <v>1.2</v>
      </c>
    </row>
    <row r="14" spans="1:18" ht="20" customHeight="1" x14ac:dyDescent="0.35">
      <c r="A14" s="3">
        <v>13</v>
      </c>
      <c r="B14" s="4">
        <v>46159</v>
      </c>
      <c r="C14" s="3" t="s">
        <v>46</v>
      </c>
      <c r="D14" s="3" t="s">
        <v>47</v>
      </c>
      <c r="E14" s="3" t="s">
        <v>19</v>
      </c>
      <c r="F14" s="3">
        <v>222</v>
      </c>
      <c r="G14" s="3">
        <v>199</v>
      </c>
      <c r="H14" s="3">
        <v>4</v>
      </c>
      <c r="I14" s="3">
        <v>8</v>
      </c>
      <c r="J14" s="3" t="s">
        <v>20</v>
      </c>
      <c r="K14" s="3" t="s">
        <v>30</v>
      </c>
      <c r="L14" s="3" t="s">
        <v>26</v>
      </c>
      <c r="M14" s="3" t="s">
        <v>48</v>
      </c>
      <c r="N14" s="3">
        <v>2</v>
      </c>
      <c r="O14" s="3">
        <v>20</v>
      </c>
      <c r="P14" s="3">
        <v>20</v>
      </c>
      <c r="Q14" s="3">
        <v>1.45</v>
      </c>
    </row>
    <row r="15" spans="1:18" ht="20" customHeight="1" x14ac:dyDescent="0.35">
      <c r="A15" s="5">
        <v>14</v>
      </c>
      <c r="B15" s="6">
        <v>46164</v>
      </c>
      <c r="C15" s="5" t="s">
        <v>17</v>
      </c>
      <c r="D15" s="5" t="s">
        <v>49</v>
      </c>
      <c r="E15" s="5" t="s">
        <v>25</v>
      </c>
      <c r="F15" s="5">
        <v>200</v>
      </c>
      <c r="G15" s="5">
        <v>255</v>
      </c>
      <c r="H15" s="5">
        <v>4</v>
      </c>
      <c r="I15" s="5">
        <v>4</v>
      </c>
      <c r="J15" s="5" t="s">
        <v>25</v>
      </c>
      <c r="K15" s="5" t="s">
        <v>30</v>
      </c>
      <c r="L15" s="5" t="s">
        <v>26</v>
      </c>
      <c r="M15" s="5" t="s">
        <v>50</v>
      </c>
      <c r="N15" s="5">
        <v>0</v>
      </c>
      <c r="O15" s="5">
        <v>20</v>
      </c>
      <c r="P15" s="5">
        <v>20</v>
      </c>
      <c r="Q15" s="5">
        <v>0.97</v>
      </c>
    </row>
  </sheetData>
  <autoFilter ref="A1:Q1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103"/>
  <sheetViews>
    <sheetView zoomScale="80" zoomScaleNormal="80" workbookViewId="0">
      <pane ySplit="1" topLeftCell="A2" activePane="bottomLeft" state="frozen"/>
      <selection pane="bottomLeft" activeCell="D105" sqref="D105"/>
    </sheetView>
  </sheetViews>
  <sheetFormatPr defaultRowHeight="14.5" x14ac:dyDescent="0.35"/>
  <cols>
    <col min="1" max="1" width="10" customWidth="1"/>
    <col min="2" max="2" width="24" customWidth="1"/>
    <col min="3" max="4" width="8" customWidth="1"/>
    <col min="5" max="6" width="6" customWidth="1"/>
    <col min="7" max="7" width="13" customWidth="1"/>
  </cols>
  <sheetData>
    <row r="1" spans="1:7" ht="28" customHeight="1" x14ac:dyDescent="0.35">
      <c r="A1" s="2" t="s">
        <v>51</v>
      </c>
      <c r="B1" s="2" t="s">
        <v>52</v>
      </c>
      <c r="C1" s="2" t="s">
        <v>26</v>
      </c>
      <c r="D1" s="2" t="s">
        <v>53</v>
      </c>
      <c r="E1" s="2" t="s">
        <v>54</v>
      </c>
      <c r="F1" s="2" t="s">
        <v>55</v>
      </c>
      <c r="G1" s="2" t="s">
        <v>56</v>
      </c>
    </row>
    <row r="2" spans="1:7" ht="18" customHeight="1" x14ac:dyDescent="0.35">
      <c r="A2" s="7">
        <v>1</v>
      </c>
      <c r="B2" s="8" t="s">
        <v>57</v>
      </c>
      <c r="C2" s="7">
        <v>8</v>
      </c>
      <c r="D2" s="7">
        <v>7</v>
      </c>
      <c r="E2" s="7">
        <v>2</v>
      </c>
      <c r="F2" s="7">
        <v>0</v>
      </c>
      <c r="G2" s="7">
        <f>ROUND((C2/D2*100),2)</f>
        <v>114.29</v>
      </c>
    </row>
    <row r="3" spans="1:7" ht="18" hidden="1" customHeight="1" x14ac:dyDescent="0.35">
      <c r="A3" s="9">
        <v>1</v>
      </c>
      <c r="B3" s="10" t="s">
        <v>58</v>
      </c>
      <c r="C3" s="9">
        <v>69</v>
      </c>
      <c r="D3" s="9">
        <v>38</v>
      </c>
      <c r="E3" s="9">
        <v>5</v>
      </c>
      <c r="F3" s="9">
        <v>5</v>
      </c>
      <c r="G3" s="7">
        <f t="shared" ref="G3:G66" si="0">ROUND((C3/D3*100),2)</f>
        <v>181.58</v>
      </c>
    </row>
    <row r="4" spans="1:7" ht="18" hidden="1" customHeight="1" x14ac:dyDescent="0.35">
      <c r="A4" s="7">
        <v>1</v>
      </c>
      <c r="B4" s="8" t="s">
        <v>59</v>
      </c>
      <c r="C4" s="7">
        <v>61</v>
      </c>
      <c r="D4" s="7">
        <v>26</v>
      </c>
      <c r="E4" s="7">
        <v>7</v>
      </c>
      <c r="F4" s="7">
        <v>4</v>
      </c>
      <c r="G4" s="7">
        <f t="shared" si="0"/>
        <v>234.62</v>
      </c>
    </row>
    <row r="5" spans="1:7" ht="18" hidden="1" customHeight="1" x14ac:dyDescent="0.35">
      <c r="A5" s="9">
        <v>1</v>
      </c>
      <c r="B5" s="10" t="s">
        <v>83</v>
      </c>
      <c r="C5" s="9">
        <v>31</v>
      </c>
      <c r="D5" s="9">
        <v>12</v>
      </c>
      <c r="E5" s="9">
        <v>2</v>
      </c>
      <c r="F5" s="9">
        <v>3</v>
      </c>
      <c r="G5" s="7">
        <f t="shared" si="0"/>
        <v>258.33</v>
      </c>
    </row>
    <row r="6" spans="1:7" ht="18" hidden="1" customHeight="1" x14ac:dyDescent="0.35">
      <c r="A6" s="7">
        <v>1</v>
      </c>
      <c r="B6" s="8" t="s">
        <v>60</v>
      </c>
      <c r="C6" s="7">
        <v>0</v>
      </c>
      <c r="D6" s="7">
        <v>1</v>
      </c>
      <c r="E6" s="7">
        <v>0</v>
      </c>
      <c r="F6" s="7">
        <v>0</v>
      </c>
      <c r="G6" s="7">
        <f t="shared" si="0"/>
        <v>0</v>
      </c>
    </row>
    <row r="7" spans="1:7" ht="18" hidden="1" customHeight="1" x14ac:dyDescent="0.35">
      <c r="A7" s="9">
        <v>1</v>
      </c>
      <c r="B7" s="10" t="s">
        <v>61</v>
      </c>
      <c r="C7" s="9">
        <v>16</v>
      </c>
      <c r="D7" s="9">
        <v>10</v>
      </c>
      <c r="E7" s="9">
        <v>1</v>
      </c>
      <c r="F7" s="9">
        <v>1</v>
      </c>
      <c r="G7" s="7">
        <f t="shared" si="0"/>
        <v>160</v>
      </c>
    </row>
    <row r="8" spans="1:7" ht="18" customHeight="1" x14ac:dyDescent="0.35">
      <c r="A8" s="7">
        <v>2</v>
      </c>
      <c r="B8" s="8" t="s">
        <v>57</v>
      </c>
      <c r="C8" s="7">
        <v>46</v>
      </c>
      <c r="D8" s="7">
        <v>30</v>
      </c>
      <c r="E8" s="7">
        <v>3</v>
      </c>
      <c r="F8" s="7">
        <v>2</v>
      </c>
      <c r="G8" s="7">
        <f t="shared" si="0"/>
        <v>153.33000000000001</v>
      </c>
    </row>
    <row r="9" spans="1:7" ht="18" hidden="1" customHeight="1" x14ac:dyDescent="0.35">
      <c r="A9" s="9">
        <v>2</v>
      </c>
      <c r="B9" s="10" t="s">
        <v>58</v>
      </c>
      <c r="C9" s="9">
        <v>28</v>
      </c>
      <c r="D9" s="9">
        <v>18</v>
      </c>
      <c r="E9" s="9">
        <v>2</v>
      </c>
      <c r="F9" s="9">
        <v>1</v>
      </c>
      <c r="G9" s="7">
        <f t="shared" si="0"/>
        <v>155.56</v>
      </c>
    </row>
    <row r="10" spans="1:7" ht="18" hidden="1" customHeight="1" x14ac:dyDescent="0.35">
      <c r="A10" s="7">
        <v>2</v>
      </c>
      <c r="B10" s="8" t="s">
        <v>59</v>
      </c>
      <c r="C10" s="7">
        <v>50</v>
      </c>
      <c r="D10" s="7">
        <v>29</v>
      </c>
      <c r="E10" s="7">
        <v>5</v>
      </c>
      <c r="F10" s="7">
        <v>2</v>
      </c>
      <c r="G10" s="7">
        <f t="shared" si="0"/>
        <v>172.41</v>
      </c>
    </row>
    <row r="11" spans="1:7" ht="18" hidden="1" customHeight="1" x14ac:dyDescent="0.35">
      <c r="A11" s="9">
        <v>2</v>
      </c>
      <c r="B11" s="10" t="s">
        <v>83</v>
      </c>
      <c r="C11" s="7">
        <v>48</v>
      </c>
      <c r="D11" s="7">
        <v>19</v>
      </c>
      <c r="E11" s="7">
        <v>1</v>
      </c>
      <c r="F11" s="7">
        <v>6</v>
      </c>
      <c r="G11" s="7">
        <f t="shared" si="0"/>
        <v>252.63</v>
      </c>
    </row>
    <row r="12" spans="1:7" ht="18" hidden="1" customHeight="1" x14ac:dyDescent="0.35">
      <c r="A12" s="7">
        <v>2</v>
      </c>
      <c r="B12" s="10" t="s">
        <v>61</v>
      </c>
      <c r="C12" s="9">
        <v>70</v>
      </c>
      <c r="D12" s="9">
        <v>25</v>
      </c>
      <c r="E12" s="9">
        <v>3</v>
      </c>
      <c r="F12" s="9">
        <v>8</v>
      </c>
      <c r="G12" s="7">
        <f t="shared" si="0"/>
        <v>280</v>
      </c>
    </row>
    <row r="13" spans="1:7" ht="18" customHeight="1" x14ac:dyDescent="0.35">
      <c r="A13" s="9">
        <v>3</v>
      </c>
      <c r="B13" s="8" t="s">
        <v>57</v>
      </c>
      <c r="C13" s="7">
        <v>0</v>
      </c>
      <c r="D13" s="7">
        <v>1</v>
      </c>
      <c r="E13" s="7">
        <v>0</v>
      </c>
      <c r="F13" s="7">
        <v>0</v>
      </c>
      <c r="G13" s="7">
        <f t="shared" si="0"/>
        <v>0</v>
      </c>
    </row>
    <row r="14" spans="1:7" ht="18" hidden="1" customHeight="1" x14ac:dyDescent="0.35">
      <c r="A14" s="9">
        <v>3</v>
      </c>
      <c r="B14" s="8" t="s">
        <v>58</v>
      </c>
      <c r="C14" s="9">
        <v>32</v>
      </c>
      <c r="D14" s="9">
        <v>16</v>
      </c>
      <c r="E14" s="9">
        <v>7</v>
      </c>
      <c r="F14" s="9">
        <v>0</v>
      </c>
      <c r="G14" s="7">
        <f t="shared" si="0"/>
        <v>200</v>
      </c>
    </row>
    <row r="15" spans="1:7" ht="18" hidden="1" customHeight="1" x14ac:dyDescent="0.35">
      <c r="A15" s="9">
        <v>3</v>
      </c>
      <c r="B15" s="8" t="s">
        <v>59</v>
      </c>
      <c r="C15" s="7">
        <v>14</v>
      </c>
      <c r="D15" s="7">
        <v>7</v>
      </c>
      <c r="E15" s="7">
        <v>3</v>
      </c>
      <c r="F15" s="7">
        <v>0</v>
      </c>
      <c r="G15" s="7">
        <f t="shared" si="0"/>
        <v>200</v>
      </c>
    </row>
    <row r="16" spans="1:7" ht="18" hidden="1" customHeight="1" x14ac:dyDescent="0.35">
      <c r="A16" s="9">
        <v>3</v>
      </c>
      <c r="B16" s="10" t="s">
        <v>83</v>
      </c>
      <c r="C16" s="9">
        <v>63</v>
      </c>
      <c r="D16" s="9">
        <v>40</v>
      </c>
      <c r="E16" s="9">
        <v>4</v>
      </c>
      <c r="F16" s="9">
        <v>4</v>
      </c>
      <c r="G16" s="7">
        <f t="shared" si="0"/>
        <v>157.5</v>
      </c>
    </row>
    <row r="17" spans="1:7" ht="18" hidden="1" customHeight="1" x14ac:dyDescent="0.35">
      <c r="A17" s="9">
        <v>3</v>
      </c>
      <c r="B17" s="10" t="s">
        <v>74</v>
      </c>
      <c r="C17" s="7">
        <v>1</v>
      </c>
      <c r="D17" s="7">
        <v>6</v>
      </c>
      <c r="E17" s="7">
        <v>0</v>
      </c>
      <c r="F17" s="7">
        <v>0</v>
      </c>
      <c r="G17" s="7">
        <f t="shared" si="0"/>
        <v>16.670000000000002</v>
      </c>
    </row>
    <row r="18" spans="1:7" ht="18" hidden="1" customHeight="1" x14ac:dyDescent="0.35">
      <c r="A18" s="9">
        <v>3</v>
      </c>
      <c r="B18" s="8" t="s">
        <v>60</v>
      </c>
      <c r="C18" s="9">
        <v>5</v>
      </c>
      <c r="D18" s="9">
        <v>8</v>
      </c>
      <c r="E18" s="9">
        <v>0</v>
      </c>
      <c r="F18" s="9">
        <v>0</v>
      </c>
      <c r="G18" s="7">
        <f t="shared" si="0"/>
        <v>62.5</v>
      </c>
    </row>
    <row r="19" spans="1:7" ht="18" hidden="1" customHeight="1" x14ac:dyDescent="0.35">
      <c r="A19" s="9">
        <v>3</v>
      </c>
      <c r="B19" s="10" t="s">
        <v>61</v>
      </c>
      <c r="C19" s="7">
        <v>13</v>
      </c>
      <c r="D19" s="7">
        <v>9</v>
      </c>
      <c r="E19" s="7">
        <v>2</v>
      </c>
      <c r="F19" s="7">
        <v>0</v>
      </c>
      <c r="G19" s="7">
        <f t="shared" si="0"/>
        <v>144.44</v>
      </c>
    </row>
    <row r="20" spans="1:7" ht="18" hidden="1" customHeight="1" x14ac:dyDescent="0.35">
      <c r="A20" s="9">
        <v>3</v>
      </c>
      <c r="B20" s="8" t="s">
        <v>75</v>
      </c>
      <c r="C20" s="7">
        <v>22</v>
      </c>
      <c r="D20" s="7">
        <v>11</v>
      </c>
      <c r="E20" s="7">
        <v>2</v>
      </c>
      <c r="F20" s="7">
        <v>1</v>
      </c>
      <c r="G20" s="7">
        <f t="shared" si="0"/>
        <v>200</v>
      </c>
    </row>
    <row r="21" spans="1:7" ht="18" hidden="1" customHeight="1" x14ac:dyDescent="0.35">
      <c r="A21" s="9">
        <v>3</v>
      </c>
      <c r="B21" s="10" t="s">
        <v>76</v>
      </c>
      <c r="C21" s="9">
        <v>29</v>
      </c>
      <c r="D21" s="7">
        <v>15</v>
      </c>
      <c r="E21" s="7">
        <v>1</v>
      </c>
      <c r="F21" s="7">
        <v>2</v>
      </c>
      <c r="G21" s="7">
        <f t="shared" si="0"/>
        <v>193.33</v>
      </c>
    </row>
    <row r="22" spans="1:7" ht="18" hidden="1" customHeight="1" x14ac:dyDescent="0.35">
      <c r="A22" s="9">
        <v>3</v>
      </c>
      <c r="B22" s="8" t="s">
        <v>77</v>
      </c>
      <c r="C22" s="7">
        <v>9</v>
      </c>
      <c r="D22" s="7">
        <v>7</v>
      </c>
      <c r="E22" s="7">
        <v>1</v>
      </c>
      <c r="F22" s="7">
        <v>0</v>
      </c>
      <c r="G22" s="7">
        <f t="shared" si="0"/>
        <v>128.57</v>
      </c>
    </row>
    <row r="23" spans="1:7" ht="18" customHeight="1" x14ac:dyDescent="0.35">
      <c r="A23" s="9">
        <v>4</v>
      </c>
      <c r="B23" s="8" t="s">
        <v>57</v>
      </c>
      <c r="C23" s="9">
        <v>78</v>
      </c>
      <c r="D23" s="9">
        <v>36</v>
      </c>
      <c r="E23" s="9">
        <v>6</v>
      </c>
      <c r="F23" s="9">
        <v>6</v>
      </c>
      <c r="G23" s="7">
        <f t="shared" si="0"/>
        <v>216.67</v>
      </c>
    </row>
    <row r="24" spans="1:7" ht="18" hidden="1" customHeight="1" x14ac:dyDescent="0.35">
      <c r="A24" s="9">
        <v>4</v>
      </c>
      <c r="B24" s="8" t="s">
        <v>58</v>
      </c>
      <c r="C24" s="7">
        <v>50</v>
      </c>
      <c r="D24" s="7">
        <v>38</v>
      </c>
      <c r="E24" s="7">
        <v>5</v>
      </c>
      <c r="F24" s="7">
        <v>1</v>
      </c>
      <c r="G24" s="7">
        <f t="shared" si="0"/>
        <v>131.58000000000001</v>
      </c>
    </row>
    <row r="25" spans="1:7" ht="18" hidden="1" customHeight="1" x14ac:dyDescent="0.35">
      <c r="A25" s="9">
        <v>4</v>
      </c>
      <c r="B25" s="10" t="s">
        <v>83</v>
      </c>
      <c r="C25" s="9">
        <v>53</v>
      </c>
      <c r="D25" s="9">
        <v>20</v>
      </c>
      <c r="E25" s="9">
        <v>4</v>
      </c>
      <c r="F25" s="9">
        <v>5</v>
      </c>
      <c r="G25" s="7">
        <f t="shared" si="0"/>
        <v>265</v>
      </c>
    </row>
    <row r="26" spans="1:7" ht="18" hidden="1" customHeight="1" x14ac:dyDescent="0.35">
      <c r="A26" s="9">
        <v>4</v>
      </c>
      <c r="B26" s="10" t="s">
        <v>61</v>
      </c>
      <c r="C26" s="7">
        <v>34</v>
      </c>
      <c r="D26" s="7">
        <v>16</v>
      </c>
      <c r="E26" s="7">
        <v>2</v>
      </c>
      <c r="F26" s="7">
        <v>3</v>
      </c>
      <c r="G26" s="7">
        <f t="shared" si="0"/>
        <v>212.5</v>
      </c>
    </row>
    <row r="27" spans="1:7" ht="18" hidden="1" customHeight="1" x14ac:dyDescent="0.35">
      <c r="A27" s="9">
        <v>4</v>
      </c>
      <c r="B27" s="8" t="s">
        <v>60</v>
      </c>
      <c r="C27" s="9">
        <v>10</v>
      </c>
      <c r="D27" s="9">
        <v>9</v>
      </c>
      <c r="E27" s="9">
        <v>1</v>
      </c>
      <c r="F27" s="9">
        <v>0</v>
      </c>
      <c r="G27" s="7">
        <f t="shared" si="0"/>
        <v>111.11</v>
      </c>
    </row>
    <row r="28" spans="1:7" ht="18" hidden="1" customHeight="1" x14ac:dyDescent="0.35">
      <c r="A28" s="9">
        <v>4</v>
      </c>
      <c r="B28" s="8" t="s">
        <v>75</v>
      </c>
      <c r="C28" s="9">
        <v>2</v>
      </c>
      <c r="D28" s="7">
        <v>2</v>
      </c>
      <c r="E28" s="7">
        <v>0</v>
      </c>
      <c r="F28" s="7">
        <v>0</v>
      </c>
      <c r="G28" s="7">
        <f t="shared" si="0"/>
        <v>100</v>
      </c>
    </row>
    <row r="29" spans="1:7" ht="18" customHeight="1" x14ac:dyDescent="0.35">
      <c r="A29" s="9">
        <v>5</v>
      </c>
      <c r="B29" s="8" t="s">
        <v>57</v>
      </c>
      <c r="C29" s="7">
        <v>7</v>
      </c>
      <c r="D29" s="7">
        <v>8</v>
      </c>
      <c r="E29" s="7">
        <v>1</v>
      </c>
      <c r="F29" s="7">
        <v>0</v>
      </c>
      <c r="G29" s="7">
        <f t="shared" si="0"/>
        <v>87.5</v>
      </c>
    </row>
    <row r="30" spans="1:7" ht="18" hidden="1" customHeight="1" x14ac:dyDescent="0.35">
      <c r="A30" s="9">
        <v>5</v>
      </c>
      <c r="B30" s="8" t="s">
        <v>58</v>
      </c>
      <c r="C30" s="9">
        <v>49</v>
      </c>
      <c r="D30" s="9">
        <v>34</v>
      </c>
      <c r="E30" s="9">
        <v>6</v>
      </c>
      <c r="F30" s="9">
        <v>1</v>
      </c>
      <c r="G30" s="7">
        <f t="shared" si="0"/>
        <v>144.12</v>
      </c>
    </row>
    <row r="31" spans="1:7" ht="18" hidden="1" customHeight="1" x14ac:dyDescent="0.35">
      <c r="A31" s="9">
        <v>5</v>
      </c>
      <c r="B31" s="8" t="s">
        <v>59</v>
      </c>
      <c r="C31" s="9">
        <v>10</v>
      </c>
      <c r="D31" s="9">
        <v>11</v>
      </c>
      <c r="E31" s="9">
        <v>1</v>
      </c>
      <c r="F31" s="9">
        <v>0</v>
      </c>
      <c r="G31" s="7">
        <f t="shared" si="0"/>
        <v>90.91</v>
      </c>
    </row>
    <row r="32" spans="1:7" ht="18" hidden="1" customHeight="1" x14ac:dyDescent="0.35">
      <c r="A32" s="9">
        <v>5</v>
      </c>
      <c r="B32" s="10" t="s">
        <v>83</v>
      </c>
      <c r="C32" s="9">
        <v>27</v>
      </c>
      <c r="D32" s="9">
        <v>13</v>
      </c>
      <c r="E32" s="9">
        <v>1</v>
      </c>
      <c r="F32" s="9">
        <v>3</v>
      </c>
      <c r="G32" s="7">
        <f t="shared" si="0"/>
        <v>207.69</v>
      </c>
    </row>
    <row r="33" spans="1:7" ht="18" hidden="1" customHeight="1" x14ac:dyDescent="0.35">
      <c r="A33" s="9">
        <v>5</v>
      </c>
      <c r="B33" s="8" t="s">
        <v>60</v>
      </c>
      <c r="C33" s="7">
        <v>23</v>
      </c>
      <c r="D33" s="7">
        <v>9</v>
      </c>
      <c r="E33" s="7">
        <v>2</v>
      </c>
      <c r="F33" s="7">
        <v>2</v>
      </c>
      <c r="G33" s="7">
        <f t="shared" si="0"/>
        <v>255.56</v>
      </c>
    </row>
    <row r="34" spans="1:7" ht="18" hidden="1" customHeight="1" x14ac:dyDescent="0.35">
      <c r="A34" s="9">
        <v>5</v>
      </c>
      <c r="B34" s="10" t="s">
        <v>61</v>
      </c>
      <c r="C34" s="9">
        <v>14</v>
      </c>
      <c r="D34" s="9">
        <v>8</v>
      </c>
      <c r="E34" s="9">
        <v>1</v>
      </c>
      <c r="F34" s="9">
        <v>1</v>
      </c>
      <c r="G34" s="7">
        <f t="shared" si="0"/>
        <v>175</v>
      </c>
    </row>
    <row r="35" spans="1:7" ht="18" hidden="1" customHeight="1" x14ac:dyDescent="0.35">
      <c r="A35" s="9">
        <v>5</v>
      </c>
      <c r="B35" s="10" t="s">
        <v>75</v>
      </c>
      <c r="C35" s="9">
        <v>14</v>
      </c>
      <c r="D35" s="9">
        <v>8</v>
      </c>
      <c r="E35" s="9">
        <v>1</v>
      </c>
      <c r="F35" s="9">
        <v>1</v>
      </c>
      <c r="G35" s="7">
        <f t="shared" si="0"/>
        <v>175</v>
      </c>
    </row>
    <row r="36" spans="1:7" ht="18" customHeight="1" x14ac:dyDescent="0.35">
      <c r="A36" s="7">
        <v>6</v>
      </c>
      <c r="B36" s="8" t="s">
        <v>57</v>
      </c>
      <c r="C36" s="9">
        <v>63</v>
      </c>
      <c r="D36" s="9">
        <v>38</v>
      </c>
      <c r="E36" s="9">
        <v>4</v>
      </c>
      <c r="F36" s="9">
        <v>3</v>
      </c>
      <c r="G36" s="7">
        <f t="shared" si="0"/>
        <v>165.79</v>
      </c>
    </row>
    <row r="37" spans="1:7" ht="18" hidden="1" customHeight="1" x14ac:dyDescent="0.35">
      <c r="A37" s="7">
        <v>6</v>
      </c>
      <c r="B37" s="8" t="s">
        <v>58</v>
      </c>
      <c r="C37" s="7">
        <v>19</v>
      </c>
      <c r="D37" s="7">
        <v>13</v>
      </c>
      <c r="E37" s="7">
        <v>3</v>
      </c>
      <c r="F37" s="7">
        <v>0</v>
      </c>
      <c r="G37" s="7">
        <f t="shared" si="0"/>
        <v>146.15</v>
      </c>
    </row>
    <row r="38" spans="1:7" ht="18" hidden="1" customHeight="1" x14ac:dyDescent="0.35">
      <c r="A38" s="7">
        <v>6</v>
      </c>
      <c r="B38" s="8" t="s">
        <v>59</v>
      </c>
      <c r="C38" s="9">
        <v>18</v>
      </c>
      <c r="D38" s="9">
        <v>13</v>
      </c>
      <c r="E38" s="9">
        <v>1</v>
      </c>
      <c r="F38" s="9">
        <v>1</v>
      </c>
      <c r="G38" s="7">
        <f t="shared" si="0"/>
        <v>138.46</v>
      </c>
    </row>
    <row r="39" spans="1:7" ht="18" hidden="1" customHeight="1" x14ac:dyDescent="0.35">
      <c r="A39" s="7">
        <v>6</v>
      </c>
      <c r="B39" s="10" t="s">
        <v>83</v>
      </c>
      <c r="C39" s="9">
        <v>8</v>
      </c>
      <c r="D39" s="9">
        <v>4</v>
      </c>
      <c r="E39" s="9">
        <v>0</v>
      </c>
      <c r="F39" s="9">
        <v>1</v>
      </c>
      <c r="G39" s="7">
        <f t="shared" si="0"/>
        <v>200</v>
      </c>
    </row>
    <row r="40" spans="1:7" ht="18" hidden="1" customHeight="1" x14ac:dyDescent="0.35">
      <c r="A40" s="7">
        <v>6</v>
      </c>
      <c r="B40" s="10" t="s">
        <v>61</v>
      </c>
      <c r="C40" s="9">
        <v>26</v>
      </c>
      <c r="D40" s="9">
        <v>17</v>
      </c>
      <c r="E40" s="9">
        <v>3</v>
      </c>
      <c r="F40" s="9">
        <v>1</v>
      </c>
      <c r="G40" s="7">
        <f t="shared" si="0"/>
        <v>152.94</v>
      </c>
    </row>
    <row r="41" spans="1:7" ht="18" hidden="1" customHeight="1" x14ac:dyDescent="0.35">
      <c r="A41" s="7">
        <v>6</v>
      </c>
      <c r="B41" s="8" t="s">
        <v>60</v>
      </c>
      <c r="C41" s="7">
        <v>14</v>
      </c>
      <c r="D41" s="7">
        <v>20</v>
      </c>
      <c r="E41" s="7">
        <v>1</v>
      </c>
      <c r="F41" s="7">
        <v>0</v>
      </c>
      <c r="G41" s="7">
        <f t="shared" si="0"/>
        <v>70</v>
      </c>
    </row>
    <row r="42" spans="1:7" ht="18" hidden="1" customHeight="1" x14ac:dyDescent="0.35">
      <c r="A42" s="7">
        <v>6</v>
      </c>
      <c r="B42" s="10" t="s">
        <v>75</v>
      </c>
      <c r="C42" s="9">
        <v>1</v>
      </c>
      <c r="D42" s="9">
        <v>4</v>
      </c>
      <c r="E42" s="9">
        <v>0</v>
      </c>
      <c r="F42" s="9">
        <v>0</v>
      </c>
      <c r="G42" s="7">
        <f t="shared" si="0"/>
        <v>25</v>
      </c>
    </row>
    <row r="43" spans="1:7" ht="18" hidden="1" customHeight="1" x14ac:dyDescent="0.35">
      <c r="A43" s="7">
        <v>6</v>
      </c>
      <c r="B43" s="10" t="s">
        <v>74</v>
      </c>
      <c r="C43" s="9">
        <v>12</v>
      </c>
      <c r="D43" s="9">
        <v>10</v>
      </c>
      <c r="E43" s="9">
        <v>0</v>
      </c>
      <c r="F43" s="9">
        <v>1</v>
      </c>
      <c r="G43" s="7">
        <f t="shared" si="0"/>
        <v>120</v>
      </c>
    </row>
    <row r="44" spans="1:7" ht="18" hidden="1" customHeight="1" x14ac:dyDescent="0.35">
      <c r="A44" s="7">
        <v>6</v>
      </c>
      <c r="B44" s="8" t="s">
        <v>80</v>
      </c>
      <c r="C44" s="9">
        <v>0</v>
      </c>
      <c r="D44" s="9">
        <v>0</v>
      </c>
      <c r="E44" s="9">
        <v>0</v>
      </c>
      <c r="F44" s="9">
        <v>0</v>
      </c>
      <c r="G44" s="7">
        <f>IFERROR(ROUND((C44/D44*100),2),0)</f>
        <v>0</v>
      </c>
    </row>
    <row r="45" spans="1:7" ht="18" hidden="1" customHeight="1" x14ac:dyDescent="0.35">
      <c r="A45" s="7">
        <v>6</v>
      </c>
      <c r="B45" s="8" t="s">
        <v>77</v>
      </c>
      <c r="C45" s="7">
        <v>3</v>
      </c>
      <c r="D45" s="7">
        <v>2</v>
      </c>
      <c r="E45" s="7">
        <v>0</v>
      </c>
      <c r="F45" s="7">
        <v>0</v>
      </c>
      <c r="G45" s="7">
        <f t="shared" si="0"/>
        <v>150</v>
      </c>
    </row>
    <row r="46" spans="1:7" ht="18" hidden="1" customHeight="1" x14ac:dyDescent="0.35">
      <c r="A46" s="7">
        <v>7</v>
      </c>
      <c r="B46" s="10" t="s">
        <v>81</v>
      </c>
      <c r="C46" s="9">
        <v>14</v>
      </c>
      <c r="D46" s="9">
        <v>10</v>
      </c>
      <c r="E46" s="9">
        <v>3</v>
      </c>
      <c r="F46" s="9">
        <v>0</v>
      </c>
      <c r="G46" s="7">
        <f t="shared" si="0"/>
        <v>140</v>
      </c>
    </row>
    <row r="47" spans="1:7" ht="18" hidden="1" customHeight="1" x14ac:dyDescent="0.35">
      <c r="A47" s="7">
        <v>7</v>
      </c>
      <c r="B47" s="8" t="s">
        <v>58</v>
      </c>
      <c r="C47" s="9">
        <v>81</v>
      </c>
      <c r="D47" s="9">
        <v>44</v>
      </c>
      <c r="E47" s="9">
        <v>8</v>
      </c>
      <c r="F47" s="9">
        <v>4</v>
      </c>
      <c r="G47" s="7">
        <f t="shared" si="0"/>
        <v>184.09</v>
      </c>
    </row>
    <row r="48" spans="1:7" ht="18" hidden="1" customHeight="1" x14ac:dyDescent="0.35">
      <c r="A48" s="7">
        <v>7</v>
      </c>
      <c r="B48" s="8" t="s">
        <v>59</v>
      </c>
      <c r="C48" s="9">
        <v>55</v>
      </c>
      <c r="D48" s="9">
        <v>27</v>
      </c>
      <c r="E48" s="9">
        <v>2</v>
      </c>
      <c r="F48" s="9">
        <v>6</v>
      </c>
      <c r="G48" s="7">
        <f t="shared" si="0"/>
        <v>203.7</v>
      </c>
    </row>
    <row r="49" spans="1:7" ht="18" hidden="1" customHeight="1" x14ac:dyDescent="0.35">
      <c r="A49" s="7">
        <v>7</v>
      </c>
      <c r="B49" s="10" t="s">
        <v>83</v>
      </c>
      <c r="C49" s="7">
        <v>8</v>
      </c>
      <c r="D49" s="7">
        <v>5</v>
      </c>
      <c r="E49" s="7">
        <v>0</v>
      </c>
      <c r="F49" s="7">
        <v>1</v>
      </c>
      <c r="G49" s="7">
        <f t="shared" si="0"/>
        <v>160</v>
      </c>
    </row>
    <row r="50" spans="1:7" ht="18" hidden="1" customHeight="1" x14ac:dyDescent="0.35">
      <c r="A50" s="7">
        <v>7</v>
      </c>
      <c r="B50" s="8" t="s">
        <v>60</v>
      </c>
      <c r="C50" s="9">
        <v>10</v>
      </c>
      <c r="D50" s="9">
        <v>6</v>
      </c>
      <c r="E50" s="9">
        <v>1</v>
      </c>
      <c r="F50" s="9">
        <v>1</v>
      </c>
      <c r="G50" s="7">
        <f t="shared" si="0"/>
        <v>166.67</v>
      </c>
    </row>
    <row r="51" spans="1:7" ht="18" hidden="1" customHeight="1" x14ac:dyDescent="0.35">
      <c r="A51" s="7">
        <v>7</v>
      </c>
      <c r="B51" s="10" t="s">
        <v>61</v>
      </c>
      <c r="C51" s="9">
        <v>10</v>
      </c>
      <c r="D51" s="9">
        <v>9</v>
      </c>
      <c r="E51" s="9">
        <v>0</v>
      </c>
      <c r="F51" s="9">
        <v>1</v>
      </c>
      <c r="G51" s="7">
        <f t="shared" si="0"/>
        <v>111.11</v>
      </c>
    </row>
    <row r="52" spans="1:7" ht="18" hidden="1" customHeight="1" x14ac:dyDescent="0.35">
      <c r="A52" s="7">
        <v>7</v>
      </c>
      <c r="B52" s="8" t="s">
        <v>74</v>
      </c>
      <c r="C52" s="9">
        <v>23</v>
      </c>
      <c r="D52" s="9">
        <v>12</v>
      </c>
      <c r="E52" s="9">
        <v>3</v>
      </c>
      <c r="F52" s="9">
        <v>1</v>
      </c>
      <c r="G52" s="7">
        <f t="shared" si="0"/>
        <v>191.67</v>
      </c>
    </row>
    <row r="53" spans="1:7" ht="18" hidden="1" customHeight="1" x14ac:dyDescent="0.35">
      <c r="A53" s="9">
        <v>8</v>
      </c>
      <c r="B53" s="8" t="s">
        <v>81</v>
      </c>
      <c r="C53" s="7">
        <v>20</v>
      </c>
      <c r="D53" s="7">
        <v>11</v>
      </c>
      <c r="E53" s="7">
        <v>1</v>
      </c>
      <c r="F53" s="7">
        <v>2</v>
      </c>
      <c r="G53" s="7">
        <f t="shared" si="0"/>
        <v>181.82</v>
      </c>
    </row>
    <row r="54" spans="1:7" ht="18" hidden="1" customHeight="1" x14ac:dyDescent="0.35">
      <c r="A54" s="9">
        <v>8</v>
      </c>
      <c r="B54" s="8" t="s">
        <v>58</v>
      </c>
      <c r="C54" s="9">
        <v>23</v>
      </c>
      <c r="D54" s="9">
        <v>15</v>
      </c>
      <c r="E54" s="9">
        <v>1</v>
      </c>
      <c r="F54" s="9">
        <v>2</v>
      </c>
      <c r="G54" s="7">
        <f t="shared" si="0"/>
        <v>153.33000000000001</v>
      </c>
    </row>
    <row r="55" spans="1:7" ht="18" hidden="1" customHeight="1" x14ac:dyDescent="0.35">
      <c r="A55" s="9">
        <v>8</v>
      </c>
      <c r="B55" s="8" t="s">
        <v>59</v>
      </c>
      <c r="C55" s="9">
        <v>34</v>
      </c>
      <c r="D55" s="9">
        <v>13</v>
      </c>
      <c r="E55" s="9">
        <v>3</v>
      </c>
      <c r="F55" s="9">
        <v>3</v>
      </c>
      <c r="G55" s="7">
        <f t="shared" si="0"/>
        <v>261.54000000000002</v>
      </c>
    </row>
    <row r="56" spans="1:7" ht="18" hidden="1" customHeight="1" x14ac:dyDescent="0.35">
      <c r="A56" s="7">
        <v>9</v>
      </c>
      <c r="B56" s="8" t="s">
        <v>81</v>
      </c>
      <c r="C56" s="9">
        <v>5</v>
      </c>
      <c r="D56" s="9">
        <v>5</v>
      </c>
      <c r="E56" s="9">
        <v>1</v>
      </c>
      <c r="F56" s="9">
        <v>0</v>
      </c>
      <c r="G56" s="7">
        <f t="shared" si="0"/>
        <v>100</v>
      </c>
    </row>
    <row r="57" spans="1:7" ht="18" hidden="1" customHeight="1" x14ac:dyDescent="0.35">
      <c r="A57" s="7">
        <v>9</v>
      </c>
      <c r="B57" s="8" t="s">
        <v>58</v>
      </c>
      <c r="C57" s="7">
        <v>28</v>
      </c>
      <c r="D57" s="7">
        <v>13</v>
      </c>
      <c r="E57" s="7">
        <v>5</v>
      </c>
      <c r="F57" s="7">
        <v>1</v>
      </c>
      <c r="G57" s="7">
        <f t="shared" si="0"/>
        <v>215.38</v>
      </c>
    </row>
    <row r="58" spans="1:7" ht="18" hidden="1" customHeight="1" x14ac:dyDescent="0.35">
      <c r="A58" s="7">
        <v>9</v>
      </c>
      <c r="B58" s="8" t="s">
        <v>59</v>
      </c>
      <c r="C58" s="9">
        <v>40</v>
      </c>
      <c r="D58" s="9">
        <v>24</v>
      </c>
      <c r="E58" s="9">
        <v>5</v>
      </c>
      <c r="F58" s="9">
        <v>2</v>
      </c>
      <c r="G58" s="7">
        <f t="shared" si="0"/>
        <v>166.67</v>
      </c>
    </row>
    <row r="59" spans="1:7" ht="18" hidden="1" customHeight="1" x14ac:dyDescent="0.35">
      <c r="A59" s="7">
        <v>9</v>
      </c>
      <c r="B59" s="10" t="s">
        <v>83</v>
      </c>
      <c r="C59" s="9">
        <v>19</v>
      </c>
      <c r="D59" s="9">
        <v>15</v>
      </c>
      <c r="E59" s="9">
        <v>2</v>
      </c>
      <c r="F59" s="9">
        <v>1</v>
      </c>
      <c r="G59" s="7">
        <f t="shared" si="0"/>
        <v>126.67</v>
      </c>
    </row>
    <row r="60" spans="1:7" ht="18" hidden="1" customHeight="1" x14ac:dyDescent="0.35">
      <c r="A60" s="7">
        <v>9</v>
      </c>
      <c r="B60" s="8" t="s">
        <v>60</v>
      </c>
      <c r="C60" s="9">
        <v>1</v>
      </c>
      <c r="D60" s="9">
        <v>3</v>
      </c>
      <c r="E60" s="9">
        <v>0</v>
      </c>
      <c r="F60" s="9">
        <v>0</v>
      </c>
      <c r="G60" s="7">
        <f t="shared" si="0"/>
        <v>33.33</v>
      </c>
    </row>
    <row r="61" spans="1:7" ht="18" hidden="1" customHeight="1" x14ac:dyDescent="0.35">
      <c r="A61" s="7">
        <v>9</v>
      </c>
      <c r="B61" s="10" t="s">
        <v>61</v>
      </c>
      <c r="C61" s="7">
        <v>9</v>
      </c>
      <c r="D61" s="7">
        <v>6</v>
      </c>
      <c r="E61" s="7">
        <v>0</v>
      </c>
      <c r="F61" s="7">
        <v>1</v>
      </c>
      <c r="G61" s="7">
        <f t="shared" si="0"/>
        <v>150</v>
      </c>
    </row>
    <row r="62" spans="1:7" ht="18" hidden="1" customHeight="1" x14ac:dyDescent="0.35">
      <c r="A62" s="7">
        <v>9</v>
      </c>
      <c r="B62" s="10" t="s">
        <v>74</v>
      </c>
      <c r="C62" s="9">
        <v>4</v>
      </c>
      <c r="D62" s="9">
        <v>4</v>
      </c>
      <c r="E62" s="9">
        <v>1</v>
      </c>
      <c r="F62" s="9">
        <v>0</v>
      </c>
      <c r="G62" s="7">
        <f t="shared" si="0"/>
        <v>100</v>
      </c>
    </row>
    <row r="63" spans="1:7" ht="18" hidden="1" customHeight="1" x14ac:dyDescent="0.35">
      <c r="A63" s="7">
        <v>9</v>
      </c>
      <c r="B63" s="10" t="s">
        <v>75</v>
      </c>
      <c r="C63" s="9">
        <v>17</v>
      </c>
      <c r="D63" s="9">
        <v>15</v>
      </c>
      <c r="E63" s="9">
        <v>0</v>
      </c>
      <c r="F63" s="9">
        <v>2</v>
      </c>
      <c r="G63" s="7">
        <f t="shared" si="0"/>
        <v>113.33</v>
      </c>
    </row>
    <row r="64" spans="1:7" ht="18" hidden="1" customHeight="1" x14ac:dyDescent="0.35">
      <c r="A64" s="7">
        <v>9</v>
      </c>
      <c r="B64" s="8" t="s">
        <v>76</v>
      </c>
      <c r="C64" s="9">
        <v>12</v>
      </c>
      <c r="D64" s="9">
        <v>15</v>
      </c>
      <c r="E64" s="9">
        <v>1</v>
      </c>
      <c r="F64" s="9">
        <v>0</v>
      </c>
      <c r="G64" s="7">
        <f t="shared" si="0"/>
        <v>80</v>
      </c>
    </row>
    <row r="65" spans="1:7" ht="18" hidden="1" customHeight="1" x14ac:dyDescent="0.35">
      <c r="A65" s="7">
        <v>9</v>
      </c>
      <c r="B65" s="8" t="s">
        <v>77</v>
      </c>
      <c r="C65" s="7">
        <v>15</v>
      </c>
      <c r="D65" s="7">
        <v>15</v>
      </c>
      <c r="E65" s="7">
        <v>2</v>
      </c>
      <c r="F65" s="7">
        <v>0</v>
      </c>
      <c r="G65" s="7">
        <f t="shared" si="0"/>
        <v>100</v>
      </c>
    </row>
    <row r="66" spans="1:7" ht="18" hidden="1" customHeight="1" x14ac:dyDescent="0.35">
      <c r="A66" s="7">
        <v>9</v>
      </c>
      <c r="B66" s="10" t="s">
        <v>82</v>
      </c>
      <c r="C66" s="9">
        <v>0</v>
      </c>
      <c r="D66" s="9">
        <v>1</v>
      </c>
      <c r="E66" s="9">
        <v>0</v>
      </c>
      <c r="F66" s="9">
        <v>0</v>
      </c>
      <c r="G66" s="7">
        <f t="shared" si="0"/>
        <v>0</v>
      </c>
    </row>
    <row r="67" spans="1:7" ht="18" hidden="1" customHeight="1" x14ac:dyDescent="0.35">
      <c r="A67" s="9">
        <v>10</v>
      </c>
      <c r="B67" s="10" t="s">
        <v>81</v>
      </c>
      <c r="C67" s="9">
        <v>4</v>
      </c>
      <c r="D67" s="9">
        <v>5</v>
      </c>
      <c r="E67" s="9">
        <v>1</v>
      </c>
      <c r="F67" s="9">
        <v>0</v>
      </c>
      <c r="G67" s="7">
        <f t="shared" ref="G67:G101" si="1">ROUND((C67/D67*100),2)</f>
        <v>80</v>
      </c>
    </row>
    <row r="68" spans="1:7" ht="18" hidden="1" customHeight="1" x14ac:dyDescent="0.35">
      <c r="A68" s="9">
        <v>10</v>
      </c>
      <c r="B68" s="8" t="s">
        <v>58</v>
      </c>
      <c r="C68" s="9">
        <v>0</v>
      </c>
      <c r="D68" s="9">
        <v>2</v>
      </c>
      <c r="E68" s="9">
        <v>0</v>
      </c>
      <c r="F68" s="9">
        <v>0</v>
      </c>
      <c r="G68" s="7">
        <f t="shared" si="1"/>
        <v>0</v>
      </c>
    </row>
    <row r="69" spans="1:7" ht="18" hidden="1" customHeight="1" x14ac:dyDescent="0.35">
      <c r="A69" s="9">
        <v>10</v>
      </c>
      <c r="B69" s="8" t="s">
        <v>59</v>
      </c>
      <c r="C69" s="7">
        <v>34</v>
      </c>
      <c r="D69" s="7">
        <v>25</v>
      </c>
      <c r="E69" s="7">
        <v>3</v>
      </c>
      <c r="F69" s="7">
        <v>1</v>
      </c>
      <c r="G69" s="7">
        <f t="shared" si="1"/>
        <v>136</v>
      </c>
    </row>
    <row r="70" spans="1:7" ht="18" hidden="1" customHeight="1" x14ac:dyDescent="0.35">
      <c r="A70" s="9">
        <v>10</v>
      </c>
      <c r="B70" s="10" t="s">
        <v>83</v>
      </c>
      <c r="C70" s="9">
        <v>61</v>
      </c>
      <c r="D70" s="9">
        <v>31</v>
      </c>
      <c r="E70" s="9">
        <v>3</v>
      </c>
      <c r="F70" s="9">
        <v>6</v>
      </c>
      <c r="G70" s="7">
        <f t="shared" si="1"/>
        <v>196.77</v>
      </c>
    </row>
    <row r="71" spans="1:7" ht="18" hidden="1" customHeight="1" x14ac:dyDescent="0.35">
      <c r="A71" s="9">
        <v>10</v>
      </c>
      <c r="B71" s="8" t="s">
        <v>60</v>
      </c>
      <c r="C71" s="9">
        <v>1</v>
      </c>
      <c r="D71" s="9">
        <v>3</v>
      </c>
      <c r="E71" s="9">
        <v>0</v>
      </c>
      <c r="F71" s="9">
        <v>0</v>
      </c>
      <c r="G71" s="7">
        <f t="shared" si="1"/>
        <v>33.33</v>
      </c>
    </row>
    <row r="72" spans="1:7" ht="18" hidden="1" customHeight="1" x14ac:dyDescent="0.35">
      <c r="A72" s="9">
        <v>10</v>
      </c>
      <c r="B72" s="10" t="s">
        <v>61</v>
      </c>
      <c r="C72" s="9">
        <v>40</v>
      </c>
      <c r="D72" s="9">
        <v>17</v>
      </c>
      <c r="E72" s="9">
        <v>4</v>
      </c>
      <c r="F72" s="9">
        <v>3</v>
      </c>
      <c r="G72" s="7">
        <f t="shared" si="1"/>
        <v>235.29</v>
      </c>
    </row>
    <row r="73" spans="1:7" ht="18" hidden="1" customHeight="1" x14ac:dyDescent="0.35">
      <c r="A73" s="9">
        <v>10</v>
      </c>
      <c r="B73" s="8" t="s">
        <v>74</v>
      </c>
      <c r="C73" s="7">
        <v>28</v>
      </c>
      <c r="D73" s="7">
        <v>16</v>
      </c>
      <c r="E73" s="7">
        <v>2</v>
      </c>
      <c r="F73" s="7">
        <v>2</v>
      </c>
      <c r="G73" s="7">
        <f t="shared" si="1"/>
        <v>175</v>
      </c>
    </row>
    <row r="74" spans="1:7" ht="16" hidden="1" x14ac:dyDescent="0.35">
      <c r="A74" s="9">
        <v>10</v>
      </c>
      <c r="B74" s="10" t="s">
        <v>75</v>
      </c>
      <c r="C74" s="9">
        <v>23</v>
      </c>
      <c r="D74" s="9">
        <v>15</v>
      </c>
      <c r="E74" s="9">
        <v>3</v>
      </c>
      <c r="F74" s="9">
        <v>1</v>
      </c>
      <c r="G74" s="7">
        <f t="shared" si="1"/>
        <v>153.33000000000001</v>
      </c>
    </row>
    <row r="75" spans="1:7" ht="16" hidden="1" x14ac:dyDescent="0.35">
      <c r="A75" s="9">
        <v>11</v>
      </c>
      <c r="B75" s="10" t="s">
        <v>81</v>
      </c>
      <c r="C75" s="9">
        <v>27</v>
      </c>
      <c r="D75" s="9">
        <v>27</v>
      </c>
      <c r="E75" s="9">
        <v>2</v>
      </c>
      <c r="F75" s="9">
        <v>0</v>
      </c>
      <c r="G75" s="7">
        <f t="shared" si="1"/>
        <v>100</v>
      </c>
    </row>
    <row r="76" spans="1:7" ht="16" hidden="1" x14ac:dyDescent="0.35">
      <c r="A76" s="9">
        <v>11</v>
      </c>
      <c r="B76" s="8" t="s">
        <v>58</v>
      </c>
      <c r="C76" s="9">
        <v>0</v>
      </c>
      <c r="D76" s="9">
        <v>1</v>
      </c>
      <c r="E76" s="9">
        <v>0</v>
      </c>
      <c r="F76" s="9">
        <v>0</v>
      </c>
      <c r="G76" s="7">
        <f t="shared" si="1"/>
        <v>0</v>
      </c>
    </row>
    <row r="77" spans="1:7" ht="16" hidden="1" x14ac:dyDescent="0.35">
      <c r="A77" s="9">
        <v>11</v>
      </c>
      <c r="B77" s="8" t="s">
        <v>59</v>
      </c>
      <c r="C77" s="7">
        <v>12</v>
      </c>
      <c r="D77" s="7">
        <v>11</v>
      </c>
      <c r="E77" s="7">
        <v>1</v>
      </c>
      <c r="F77" s="7">
        <v>1</v>
      </c>
      <c r="G77" s="7">
        <f t="shared" si="1"/>
        <v>109.09</v>
      </c>
    </row>
    <row r="78" spans="1:7" ht="16" hidden="1" x14ac:dyDescent="0.35">
      <c r="A78" s="9">
        <v>11</v>
      </c>
      <c r="B78" s="10" t="s">
        <v>83</v>
      </c>
      <c r="C78" s="9">
        <v>8</v>
      </c>
      <c r="D78" s="9">
        <v>8</v>
      </c>
      <c r="E78" s="9">
        <v>1</v>
      </c>
      <c r="F78" s="9">
        <v>0</v>
      </c>
      <c r="G78" s="7">
        <f t="shared" si="1"/>
        <v>100</v>
      </c>
    </row>
    <row r="79" spans="1:7" ht="16" hidden="1" x14ac:dyDescent="0.35">
      <c r="A79" s="9">
        <v>11</v>
      </c>
      <c r="B79" s="10" t="s">
        <v>74</v>
      </c>
      <c r="C79" s="9">
        <v>73</v>
      </c>
      <c r="D79" s="9">
        <v>46</v>
      </c>
      <c r="E79" s="9">
        <v>4</v>
      </c>
      <c r="F79" s="9">
        <v>5</v>
      </c>
      <c r="G79" s="7">
        <f t="shared" si="1"/>
        <v>158.69999999999999</v>
      </c>
    </row>
    <row r="80" spans="1:7" ht="16" hidden="1" x14ac:dyDescent="0.35">
      <c r="A80" s="9">
        <v>11</v>
      </c>
      <c r="B80" s="8" t="s">
        <v>60</v>
      </c>
      <c r="C80" s="9">
        <v>18</v>
      </c>
      <c r="D80" s="9">
        <v>12</v>
      </c>
      <c r="E80" s="9">
        <v>1</v>
      </c>
      <c r="F80" s="9">
        <v>2</v>
      </c>
      <c r="G80" s="7">
        <f t="shared" si="1"/>
        <v>150</v>
      </c>
    </row>
    <row r="81" spans="1:7" ht="16" hidden="1" x14ac:dyDescent="0.35">
      <c r="A81" s="9">
        <v>11</v>
      </c>
      <c r="B81" s="10" t="s">
        <v>61</v>
      </c>
      <c r="C81" s="7">
        <v>0</v>
      </c>
      <c r="D81" s="7">
        <v>1</v>
      </c>
      <c r="E81" s="7">
        <v>0</v>
      </c>
      <c r="F81" s="7">
        <v>0</v>
      </c>
      <c r="G81" s="7">
        <f t="shared" si="1"/>
        <v>0</v>
      </c>
    </row>
    <row r="82" spans="1:7" ht="16" hidden="1" x14ac:dyDescent="0.35">
      <c r="A82" s="9">
        <v>11</v>
      </c>
      <c r="B82" s="10" t="s">
        <v>75</v>
      </c>
      <c r="C82" s="9">
        <v>4</v>
      </c>
      <c r="D82" s="9">
        <v>11</v>
      </c>
      <c r="E82" s="9">
        <v>0</v>
      </c>
      <c r="F82" s="9">
        <v>0</v>
      </c>
      <c r="G82" s="7">
        <f t="shared" si="1"/>
        <v>36.36</v>
      </c>
    </row>
    <row r="83" spans="1:7" ht="16" hidden="1" x14ac:dyDescent="0.35">
      <c r="A83" s="9">
        <v>11</v>
      </c>
      <c r="B83" s="10" t="s">
        <v>80</v>
      </c>
      <c r="C83" s="9">
        <v>3</v>
      </c>
      <c r="D83" s="9">
        <v>2</v>
      </c>
      <c r="E83" s="9">
        <v>0</v>
      </c>
      <c r="F83" s="9">
        <v>0</v>
      </c>
      <c r="G83" s="7">
        <f t="shared" si="1"/>
        <v>150</v>
      </c>
    </row>
    <row r="84" spans="1:7" ht="16" hidden="1" x14ac:dyDescent="0.35">
      <c r="A84" s="9">
        <v>11</v>
      </c>
      <c r="B84" s="8" t="s">
        <v>77</v>
      </c>
      <c r="C84" s="9">
        <v>7</v>
      </c>
      <c r="D84" s="9">
        <v>2</v>
      </c>
      <c r="E84" s="9">
        <v>0</v>
      </c>
      <c r="F84" s="9">
        <v>1</v>
      </c>
      <c r="G84" s="7">
        <f t="shared" si="1"/>
        <v>350</v>
      </c>
    </row>
    <row r="85" spans="1:7" ht="16" hidden="1" x14ac:dyDescent="0.35">
      <c r="A85" s="9">
        <v>12</v>
      </c>
      <c r="B85" s="8" t="s">
        <v>81</v>
      </c>
      <c r="C85" s="7">
        <v>15</v>
      </c>
      <c r="D85" s="7">
        <v>12</v>
      </c>
      <c r="E85" s="7">
        <v>2</v>
      </c>
      <c r="F85" s="7">
        <v>1</v>
      </c>
      <c r="G85" s="7">
        <f t="shared" si="1"/>
        <v>125</v>
      </c>
    </row>
    <row r="86" spans="1:7" ht="16" hidden="1" x14ac:dyDescent="0.35">
      <c r="A86" s="9">
        <v>12</v>
      </c>
      <c r="B86" s="8" t="s">
        <v>58</v>
      </c>
      <c r="C86" s="9">
        <v>105</v>
      </c>
      <c r="D86" s="9">
        <v>60</v>
      </c>
      <c r="E86" s="9">
        <v>11</v>
      </c>
      <c r="F86" s="9">
        <v>3</v>
      </c>
      <c r="G86" s="7">
        <f t="shared" si="1"/>
        <v>175</v>
      </c>
    </row>
    <row r="87" spans="1:7" ht="16" hidden="1" x14ac:dyDescent="0.35">
      <c r="A87" s="9">
        <v>12</v>
      </c>
      <c r="B87" s="8" t="s">
        <v>59</v>
      </c>
      <c r="C87" s="9">
        <v>39</v>
      </c>
      <c r="D87" s="9">
        <v>27</v>
      </c>
      <c r="E87" s="9">
        <v>7</v>
      </c>
      <c r="F87" s="9">
        <v>0</v>
      </c>
      <c r="G87" s="7">
        <f t="shared" si="1"/>
        <v>144.44</v>
      </c>
    </row>
    <row r="88" spans="1:7" ht="16" hidden="1" x14ac:dyDescent="0.35">
      <c r="A88" s="9">
        <v>12</v>
      </c>
      <c r="B88" s="10" t="s">
        <v>83</v>
      </c>
      <c r="C88" s="9">
        <v>11</v>
      </c>
      <c r="D88" s="9">
        <v>8</v>
      </c>
      <c r="E88" s="9">
        <v>0</v>
      </c>
      <c r="F88" s="9">
        <v>1</v>
      </c>
      <c r="G88" s="7">
        <f t="shared" si="1"/>
        <v>137.5</v>
      </c>
    </row>
    <row r="89" spans="1:7" ht="16" hidden="1" x14ac:dyDescent="0.35">
      <c r="A89" s="9">
        <v>12</v>
      </c>
      <c r="B89" s="10" t="s">
        <v>61</v>
      </c>
      <c r="C89" s="7">
        <v>2</v>
      </c>
      <c r="D89" s="7">
        <v>3</v>
      </c>
      <c r="E89" s="7">
        <v>0</v>
      </c>
      <c r="F89" s="7">
        <v>0</v>
      </c>
      <c r="G89" s="7">
        <f t="shared" si="1"/>
        <v>66.67</v>
      </c>
    </row>
    <row r="90" spans="1:7" ht="16" hidden="1" x14ac:dyDescent="0.35">
      <c r="A90" s="9">
        <v>12</v>
      </c>
      <c r="B90" s="8" t="s">
        <v>60</v>
      </c>
      <c r="C90" s="9">
        <v>8</v>
      </c>
      <c r="D90" s="9">
        <v>5</v>
      </c>
      <c r="E90" s="9">
        <v>1</v>
      </c>
      <c r="F90" s="9">
        <v>0</v>
      </c>
      <c r="G90" s="7">
        <f t="shared" si="1"/>
        <v>160</v>
      </c>
    </row>
    <row r="91" spans="1:7" ht="16" hidden="1" x14ac:dyDescent="0.35">
      <c r="A91" s="9">
        <v>13</v>
      </c>
      <c r="B91" s="10" t="s">
        <v>81</v>
      </c>
      <c r="C91" s="9">
        <v>11</v>
      </c>
      <c r="D91" s="9">
        <v>7</v>
      </c>
      <c r="E91" s="9">
        <v>2</v>
      </c>
      <c r="F91" s="9">
        <v>0</v>
      </c>
      <c r="G91" s="7">
        <f t="shared" si="1"/>
        <v>157.13999999999999</v>
      </c>
    </row>
    <row r="92" spans="1:7" ht="16" hidden="1" x14ac:dyDescent="0.35">
      <c r="A92" s="9">
        <v>13</v>
      </c>
      <c r="B92" s="8" t="s">
        <v>58</v>
      </c>
      <c r="C92" s="9">
        <v>58</v>
      </c>
      <c r="D92" s="9">
        <v>37</v>
      </c>
      <c r="E92" s="9">
        <v>4</v>
      </c>
      <c r="F92" s="9">
        <v>3</v>
      </c>
      <c r="G92" s="7">
        <f t="shared" si="1"/>
        <v>156.76</v>
      </c>
    </row>
    <row r="93" spans="1:7" ht="16" hidden="1" x14ac:dyDescent="0.35">
      <c r="A93" s="9">
        <v>13</v>
      </c>
      <c r="B93" s="8" t="s">
        <v>59</v>
      </c>
      <c r="C93" s="7">
        <v>45</v>
      </c>
      <c r="D93" s="7">
        <v>25</v>
      </c>
      <c r="E93" s="7">
        <v>4</v>
      </c>
      <c r="F93" s="7">
        <v>3</v>
      </c>
      <c r="G93" s="7">
        <f t="shared" si="1"/>
        <v>180</v>
      </c>
    </row>
    <row r="94" spans="1:7" ht="16" hidden="1" x14ac:dyDescent="0.35">
      <c r="A94" s="9">
        <v>13</v>
      </c>
      <c r="B94" s="10" t="s">
        <v>76</v>
      </c>
      <c r="C94" s="9">
        <v>73</v>
      </c>
      <c r="D94" s="9">
        <v>40</v>
      </c>
      <c r="E94" s="9">
        <v>8</v>
      </c>
      <c r="F94" s="9">
        <v>4</v>
      </c>
      <c r="G94" s="7">
        <f t="shared" si="1"/>
        <v>182.5</v>
      </c>
    </row>
    <row r="95" spans="1:7" ht="16" hidden="1" x14ac:dyDescent="0.35">
      <c r="A95" s="9">
        <v>13</v>
      </c>
      <c r="B95" s="10" t="s">
        <v>61</v>
      </c>
      <c r="C95" s="9">
        <v>28</v>
      </c>
      <c r="D95" s="9">
        <v>12</v>
      </c>
      <c r="E95" s="9">
        <v>2</v>
      </c>
      <c r="F95" s="9">
        <v>2</v>
      </c>
      <c r="G95" s="7">
        <f t="shared" si="1"/>
        <v>233.33</v>
      </c>
    </row>
    <row r="96" spans="1:7" ht="16" hidden="1" x14ac:dyDescent="0.35">
      <c r="A96" s="9">
        <v>14</v>
      </c>
      <c r="B96" s="8" t="s">
        <v>76</v>
      </c>
      <c r="C96" s="9">
        <v>44</v>
      </c>
      <c r="D96" s="9">
        <v>19</v>
      </c>
      <c r="E96" s="9">
        <v>4</v>
      </c>
      <c r="F96" s="9">
        <v>4</v>
      </c>
      <c r="G96" s="7">
        <f t="shared" si="1"/>
        <v>231.58</v>
      </c>
    </row>
    <row r="97" spans="1:7" ht="16" hidden="1" x14ac:dyDescent="0.35">
      <c r="A97" s="9">
        <v>14</v>
      </c>
      <c r="B97" s="8" t="s">
        <v>58</v>
      </c>
      <c r="C97" s="7">
        <v>15</v>
      </c>
      <c r="D97" s="7">
        <v>11</v>
      </c>
      <c r="E97" s="7">
        <v>2</v>
      </c>
      <c r="F97" s="7">
        <v>0</v>
      </c>
      <c r="G97" s="7">
        <f t="shared" si="1"/>
        <v>136.36000000000001</v>
      </c>
    </row>
    <row r="98" spans="1:7" ht="16" hidden="1" x14ac:dyDescent="0.35">
      <c r="A98" s="9">
        <v>14</v>
      </c>
      <c r="B98" s="8" t="s">
        <v>59</v>
      </c>
      <c r="C98">
        <v>21</v>
      </c>
      <c r="D98">
        <v>14</v>
      </c>
      <c r="E98">
        <v>2</v>
      </c>
      <c r="F98">
        <v>1</v>
      </c>
      <c r="G98" s="7">
        <f t="shared" si="1"/>
        <v>150</v>
      </c>
    </row>
    <row r="99" spans="1:7" ht="16" hidden="1" x14ac:dyDescent="0.35">
      <c r="A99" s="9">
        <v>14</v>
      </c>
      <c r="B99" s="10" t="s">
        <v>83</v>
      </c>
      <c r="C99">
        <v>56</v>
      </c>
      <c r="D99">
        <v>39</v>
      </c>
      <c r="E99">
        <v>6</v>
      </c>
      <c r="F99">
        <v>1</v>
      </c>
      <c r="G99" s="7">
        <f t="shared" si="1"/>
        <v>143.59</v>
      </c>
    </row>
    <row r="100" spans="1:7" ht="16" hidden="1" x14ac:dyDescent="0.35">
      <c r="A100" s="9">
        <v>14</v>
      </c>
      <c r="B100" t="s">
        <v>74</v>
      </c>
      <c r="C100">
        <v>41</v>
      </c>
      <c r="D100">
        <v>31</v>
      </c>
      <c r="E100">
        <v>5</v>
      </c>
      <c r="F100">
        <v>0</v>
      </c>
      <c r="G100" s="7">
        <f t="shared" si="1"/>
        <v>132.26</v>
      </c>
    </row>
    <row r="101" spans="1:7" ht="16" hidden="1" x14ac:dyDescent="0.35">
      <c r="A101" s="9">
        <v>14</v>
      </c>
      <c r="B101" s="10" t="s">
        <v>61</v>
      </c>
      <c r="C101">
        <v>15</v>
      </c>
      <c r="D101">
        <v>7</v>
      </c>
      <c r="E101">
        <v>1</v>
      </c>
      <c r="F101">
        <v>1</v>
      </c>
      <c r="G101" s="7">
        <f t="shared" si="1"/>
        <v>214.29</v>
      </c>
    </row>
    <row r="102" spans="1:7" ht="16" x14ac:dyDescent="0.35">
      <c r="B102" s="10"/>
    </row>
    <row r="103" spans="1:7" ht="16" x14ac:dyDescent="0.35">
      <c r="B103" s="10"/>
    </row>
  </sheetData>
  <autoFilter ref="A1:G101" xr:uid="{00000000-0001-0000-0100-000000000000}">
    <filterColumn colId="1">
      <filters>
        <filter val="Phil Salt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R82"/>
  <sheetViews>
    <sheetView workbookViewId="0">
      <pane ySplit="1" topLeftCell="A2" activePane="bottomLeft" state="frozen"/>
      <selection pane="bottomLeft" activeCell="J5" sqref="J5"/>
    </sheetView>
  </sheetViews>
  <sheetFormatPr defaultRowHeight="14.5" x14ac:dyDescent="0.35"/>
  <cols>
    <col min="1" max="1" width="10" customWidth="1"/>
    <col min="2" max="2" width="22" customWidth="1"/>
    <col min="3" max="4" width="8" customWidth="1"/>
    <col min="5" max="5" width="12" customWidth="1"/>
    <col min="6" max="7" width="10" customWidth="1"/>
    <col min="8" max="8" width="8" customWidth="1"/>
  </cols>
  <sheetData>
    <row r="1" spans="1:8" ht="28" customHeight="1" x14ac:dyDescent="0.35">
      <c r="A1" s="2" t="s">
        <v>51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22</v>
      </c>
      <c r="G1" s="2" t="s">
        <v>67</v>
      </c>
      <c r="H1" s="2" t="s">
        <v>68</v>
      </c>
    </row>
    <row r="2" spans="1:8" ht="18" hidden="1" customHeight="1" x14ac:dyDescent="0.35">
      <c r="A2" s="7">
        <v>1</v>
      </c>
      <c r="B2" s="8" t="s">
        <v>69</v>
      </c>
      <c r="C2" s="7">
        <v>4</v>
      </c>
      <c r="D2" s="7">
        <v>0</v>
      </c>
      <c r="E2" s="7">
        <v>22</v>
      </c>
      <c r="F2" s="7">
        <v>3</v>
      </c>
      <c r="G2" s="7">
        <f>ROUND(E2/(INT(C2)+(MOD(C2,1)*10)/6),2)</f>
        <v>5.5</v>
      </c>
      <c r="H2" s="7">
        <v>13</v>
      </c>
    </row>
    <row r="3" spans="1:8" ht="18" hidden="1" customHeight="1" x14ac:dyDescent="0.35">
      <c r="A3" s="9">
        <v>1</v>
      </c>
      <c r="B3" s="10" t="s">
        <v>70</v>
      </c>
      <c r="C3" s="9">
        <v>4</v>
      </c>
      <c r="D3" s="9">
        <v>0</v>
      </c>
      <c r="E3" s="9">
        <v>31</v>
      </c>
      <c r="F3" s="9">
        <v>1</v>
      </c>
      <c r="G3" s="7">
        <f t="shared" ref="G3:G41" si="0">ROUND(E3/(INT(C3)+(MOD(C3,1)*10)/6),2)</f>
        <v>7.75</v>
      </c>
      <c r="H3" s="9">
        <v>9</v>
      </c>
    </row>
    <row r="4" spans="1:8" ht="18" hidden="1" customHeight="1" x14ac:dyDescent="0.35">
      <c r="A4" s="7">
        <v>1</v>
      </c>
      <c r="B4" s="8" t="s">
        <v>71</v>
      </c>
      <c r="C4" s="7">
        <v>3</v>
      </c>
      <c r="D4" s="7">
        <v>0</v>
      </c>
      <c r="E4" s="7">
        <v>38</v>
      </c>
      <c r="F4" s="7">
        <v>1</v>
      </c>
      <c r="G4" s="7">
        <f t="shared" si="0"/>
        <v>12.67</v>
      </c>
      <c r="H4" s="7">
        <v>7</v>
      </c>
    </row>
    <row r="5" spans="1:8" ht="18" hidden="1" customHeight="1" x14ac:dyDescent="0.35">
      <c r="A5" s="9">
        <v>1</v>
      </c>
      <c r="B5" s="10" t="s">
        <v>72</v>
      </c>
      <c r="C5" s="9">
        <v>4</v>
      </c>
      <c r="D5" s="9">
        <v>0</v>
      </c>
      <c r="E5" s="9">
        <v>54</v>
      </c>
      <c r="F5" s="9">
        <v>3</v>
      </c>
      <c r="G5" s="7">
        <f t="shared" si="0"/>
        <v>13.5</v>
      </c>
      <c r="H5" s="9">
        <v>5</v>
      </c>
    </row>
    <row r="6" spans="1:8" ht="18" hidden="1" customHeight="1" x14ac:dyDescent="0.35">
      <c r="A6" s="7">
        <v>1</v>
      </c>
      <c r="B6" s="8" t="s">
        <v>73</v>
      </c>
      <c r="C6" s="7">
        <v>3</v>
      </c>
      <c r="D6" s="7">
        <v>0</v>
      </c>
      <c r="E6" s="7">
        <v>28</v>
      </c>
      <c r="F6" s="7">
        <v>1</v>
      </c>
      <c r="G6" s="7">
        <f t="shared" si="0"/>
        <v>9.33</v>
      </c>
      <c r="H6" s="7">
        <v>6</v>
      </c>
    </row>
    <row r="7" spans="1:8" ht="18" hidden="1" customHeight="1" x14ac:dyDescent="0.35">
      <c r="A7" s="9">
        <v>1</v>
      </c>
      <c r="B7" s="10" t="s">
        <v>62</v>
      </c>
      <c r="C7" s="9">
        <v>2</v>
      </c>
      <c r="D7" s="9">
        <v>0</v>
      </c>
      <c r="E7" s="9">
        <v>26</v>
      </c>
      <c r="F7" s="9">
        <v>0</v>
      </c>
      <c r="G7" s="7">
        <f t="shared" si="0"/>
        <v>13</v>
      </c>
      <c r="H7" s="9">
        <v>1</v>
      </c>
    </row>
    <row r="8" spans="1:8" ht="18" hidden="1" customHeight="1" x14ac:dyDescent="0.35">
      <c r="A8" s="7">
        <v>2</v>
      </c>
      <c r="B8" s="8" t="s">
        <v>69</v>
      </c>
      <c r="C8" s="7">
        <v>4</v>
      </c>
      <c r="D8" s="7">
        <v>0</v>
      </c>
      <c r="E8" s="7">
        <v>31</v>
      </c>
      <c r="F8" s="7">
        <v>2</v>
      </c>
      <c r="G8" s="7">
        <f t="shared" si="0"/>
        <v>7.75</v>
      </c>
      <c r="H8" s="7">
        <v>10</v>
      </c>
    </row>
    <row r="9" spans="1:8" ht="18" hidden="1" customHeight="1" x14ac:dyDescent="0.35">
      <c r="A9" s="9">
        <v>2</v>
      </c>
      <c r="B9" s="10" t="s">
        <v>70</v>
      </c>
      <c r="C9" s="9">
        <v>4</v>
      </c>
      <c r="D9" s="9">
        <v>0</v>
      </c>
      <c r="E9" s="9">
        <v>38</v>
      </c>
      <c r="F9" s="9">
        <v>3</v>
      </c>
      <c r="G9" s="7">
        <f t="shared" si="0"/>
        <v>9.5</v>
      </c>
      <c r="H9" s="9">
        <v>8</v>
      </c>
    </row>
    <row r="10" spans="1:8" ht="18" hidden="1" customHeight="1" x14ac:dyDescent="0.35">
      <c r="A10" s="7">
        <v>2</v>
      </c>
      <c r="B10" s="8" t="s">
        <v>71</v>
      </c>
      <c r="C10" s="7">
        <v>4</v>
      </c>
      <c r="D10" s="7">
        <v>0</v>
      </c>
      <c r="E10" s="7">
        <v>44</v>
      </c>
      <c r="F10" s="7">
        <v>2</v>
      </c>
      <c r="G10" s="7">
        <f t="shared" si="0"/>
        <v>11</v>
      </c>
      <c r="H10" s="7">
        <v>6</v>
      </c>
    </row>
    <row r="11" spans="1:8" ht="18" hidden="1" customHeight="1" x14ac:dyDescent="0.35">
      <c r="A11" s="9">
        <v>2</v>
      </c>
      <c r="B11" s="10" t="s">
        <v>62</v>
      </c>
      <c r="C11" s="9">
        <v>4</v>
      </c>
      <c r="D11" s="9">
        <v>0</v>
      </c>
      <c r="E11" s="9">
        <v>36</v>
      </c>
      <c r="F11" s="9">
        <v>2</v>
      </c>
      <c r="G11" s="7">
        <f t="shared" si="0"/>
        <v>9</v>
      </c>
      <c r="H11" s="9">
        <v>8</v>
      </c>
    </row>
    <row r="12" spans="1:8" ht="18" hidden="1" customHeight="1" x14ac:dyDescent="0.35">
      <c r="A12" s="7">
        <v>2</v>
      </c>
      <c r="B12" s="8" t="s">
        <v>73</v>
      </c>
      <c r="C12" s="7">
        <v>3.4</v>
      </c>
      <c r="D12" s="7">
        <v>0</v>
      </c>
      <c r="E12" s="7">
        <v>30</v>
      </c>
      <c r="F12" s="7">
        <v>1</v>
      </c>
      <c r="G12" s="7">
        <f t="shared" si="0"/>
        <v>8.18</v>
      </c>
      <c r="H12" s="7">
        <v>7</v>
      </c>
    </row>
    <row r="13" spans="1:8" ht="18" hidden="1" customHeight="1" x14ac:dyDescent="0.35">
      <c r="A13" s="9">
        <v>3</v>
      </c>
      <c r="B13" t="s">
        <v>70</v>
      </c>
      <c r="C13" s="7">
        <v>4</v>
      </c>
      <c r="D13" s="7">
        <v>0</v>
      </c>
      <c r="E13" s="7">
        <v>37</v>
      </c>
      <c r="F13" s="7">
        <v>0</v>
      </c>
      <c r="G13" s="7">
        <f t="shared" si="0"/>
        <v>9.25</v>
      </c>
      <c r="H13" s="7">
        <v>9</v>
      </c>
    </row>
    <row r="14" spans="1:8" ht="18" hidden="1" customHeight="1" x14ac:dyDescent="0.35">
      <c r="A14" s="9">
        <v>3</v>
      </c>
      <c r="B14" t="s">
        <v>79</v>
      </c>
      <c r="C14" s="7">
        <v>4</v>
      </c>
      <c r="D14" s="7">
        <v>0</v>
      </c>
      <c r="E14" s="7">
        <v>44</v>
      </c>
      <c r="F14" s="7">
        <v>2</v>
      </c>
      <c r="G14" s="7">
        <f t="shared" si="0"/>
        <v>11</v>
      </c>
      <c r="H14" s="7">
        <v>8</v>
      </c>
    </row>
    <row r="15" spans="1:8" ht="18" hidden="1" customHeight="1" x14ac:dyDescent="0.35">
      <c r="A15" s="9">
        <v>3</v>
      </c>
      <c r="B15" t="s">
        <v>71</v>
      </c>
      <c r="C15" s="9">
        <v>3</v>
      </c>
      <c r="D15" s="9">
        <v>0</v>
      </c>
      <c r="E15" s="9">
        <v>54</v>
      </c>
      <c r="F15" s="9">
        <v>0</v>
      </c>
      <c r="G15" s="7">
        <f t="shared" si="0"/>
        <v>18</v>
      </c>
      <c r="H15" s="9">
        <v>2</v>
      </c>
    </row>
    <row r="16" spans="1:8" ht="18" hidden="1" customHeight="1" x14ac:dyDescent="0.35">
      <c r="A16" s="9">
        <v>3</v>
      </c>
      <c r="B16" t="s">
        <v>62</v>
      </c>
      <c r="C16" s="7">
        <v>4</v>
      </c>
      <c r="D16" s="7">
        <v>0</v>
      </c>
      <c r="E16" s="7">
        <v>30</v>
      </c>
      <c r="F16" s="7">
        <v>2</v>
      </c>
      <c r="G16" s="7">
        <f t="shared" si="0"/>
        <v>7.5</v>
      </c>
      <c r="H16" s="7">
        <v>7</v>
      </c>
    </row>
    <row r="17" spans="1:18" ht="18" customHeight="1" x14ac:dyDescent="0.35">
      <c r="A17" s="9">
        <v>3</v>
      </c>
      <c r="B17" t="s">
        <v>61</v>
      </c>
      <c r="C17" s="9">
        <v>1</v>
      </c>
      <c r="D17" s="9">
        <v>0</v>
      </c>
      <c r="E17" s="9">
        <v>18</v>
      </c>
      <c r="F17" s="9">
        <v>0</v>
      </c>
      <c r="G17" s="7">
        <f t="shared" si="0"/>
        <v>18</v>
      </c>
      <c r="H17" s="9">
        <v>1</v>
      </c>
    </row>
    <row r="18" spans="1:18" ht="18" hidden="1" customHeight="1" x14ac:dyDescent="0.35">
      <c r="A18" s="9">
        <v>3</v>
      </c>
      <c r="B18" t="s">
        <v>72</v>
      </c>
      <c r="C18" s="7">
        <v>2</v>
      </c>
      <c r="D18" s="7">
        <v>0</v>
      </c>
      <c r="E18" s="7">
        <v>18</v>
      </c>
      <c r="F18" s="7">
        <v>0</v>
      </c>
      <c r="G18" s="7">
        <f t="shared" si="0"/>
        <v>9</v>
      </c>
      <c r="H18" s="7">
        <v>0</v>
      </c>
    </row>
    <row r="19" spans="1:18" ht="18" hidden="1" customHeight="1" x14ac:dyDescent="0.35">
      <c r="A19" s="7">
        <v>4</v>
      </c>
      <c r="B19" s="8" t="s">
        <v>69</v>
      </c>
      <c r="C19" s="7">
        <v>4</v>
      </c>
      <c r="D19" s="7">
        <v>0</v>
      </c>
      <c r="E19" s="7">
        <v>58</v>
      </c>
      <c r="F19" s="7">
        <v>1</v>
      </c>
      <c r="G19" s="7">
        <f t="shared" si="0"/>
        <v>14.5</v>
      </c>
      <c r="H19" s="7">
        <v>10</v>
      </c>
    </row>
    <row r="20" spans="1:18" ht="18" hidden="1" customHeight="1" x14ac:dyDescent="0.35">
      <c r="A20" s="7">
        <v>4</v>
      </c>
      <c r="B20" s="10" t="s">
        <v>70</v>
      </c>
      <c r="C20" s="9">
        <v>4</v>
      </c>
      <c r="D20" s="9">
        <v>0</v>
      </c>
      <c r="E20" s="9">
        <v>38</v>
      </c>
      <c r="F20" s="9">
        <v>0</v>
      </c>
      <c r="G20" s="7">
        <f t="shared" si="0"/>
        <v>9.5</v>
      </c>
      <c r="H20" s="9">
        <v>6</v>
      </c>
    </row>
    <row r="21" spans="1:18" ht="18" hidden="1" customHeight="1" x14ac:dyDescent="0.35">
      <c r="A21" s="7">
        <v>4</v>
      </c>
      <c r="B21" s="8" t="s">
        <v>78</v>
      </c>
      <c r="C21" s="7">
        <v>2.5</v>
      </c>
      <c r="D21" s="7">
        <v>0</v>
      </c>
      <c r="E21" s="7">
        <v>23</v>
      </c>
      <c r="F21" s="7">
        <v>1</v>
      </c>
      <c r="G21" s="7">
        <f t="shared" si="0"/>
        <v>8.1199999999999992</v>
      </c>
      <c r="H21" s="7">
        <v>8</v>
      </c>
    </row>
    <row r="22" spans="1:18" ht="18" hidden="1" customHeight="1" x14ac:dyDescent="0.35">
      <c r="A22" s="7">
        <v>4</v>
      </c>
      <c r="B22" s="10" t="s">
        <v>62</v>
      </c>
      <c r="C22" s="9">
        <v>4</v>
      </c>
      <c r="D22" s="9">
        <v>0</v>
      </c>
      <c r="E22" s="9">
        <v>26</v>
      </c>
      <c r="F22" s="9">
        <v>1</v>
      </c>
      <c r="G22" s="7">
        <f t="shared" si="0"/>
        <v>6.5</v>
      </c>
      <c r="H22" s="9">
        <v>7</v>
      </c>
      <c r="R22">
        <v>0</v>
      </c>
    </row>
    <row r="23" spans="1:18" ht="18" hidden="1" customHeight="1" x14ac:dyDescent="0.35">
      <c r="A23" s="7">
        <v>4</v>
      </c>
      <c r="B23" s="8" t="s">
        <v>73</v>
      </c>
      <c r="C23" s="7">
        <v>4</v>
      </c>
      <c r="D23" s="7">
        <v>0</v>
      </c>
      <c r="E23" s="7">
        <v>47</v>
      </c>
      <c r="F23" s="7">
        <v>2</v>
      </c>
      <c r="G23" s="7">
        <f t="shared" si="0"/>
        <v>11.75</v>
      </c>
      <c r="H23" s="7">
        <v>6</v>
      </c>
      <c r="R23">
        <v>0</v>
      </c>
    </row>
    <row r="24" spans="1:18" ht="18" hidden="1" customHeight="1" x14ac:dyDescent="0.35">
      <c r="A24" s="7">
        <v>4</v>
      </c>
      <c r="B24" s="10" t="s">
        <v>72</v>
      </c>
      <c r="C24" s="9">
        <v>1.1000000000000001</v>
      </c>
      <c r="D24" s="9">
        <v>0</v>
      </c>
      <c r="E24" s="9">
        <v>28</v>
      </c>
      <c r="F24" s="9">
        <v>0</v>
      </c>
      <c r="G24" s="7">
        <f t="shared" si="0"/>
        <v>24</v>
      </c>
      <c r="H24" s="9">
        <v>2</v>
      </c>
      <c r="R24">
        <v>0</v>
      </c>
    </row>
    <row r="25" spans="1:18" ht="18" hidden="1" customHeight="1" x14ac:dyDescent="0.35">
      <c r="A25" s="7">
        <v>5</v>
      </c>
      <c r="B25" s="8" t="s">
        <v>70</v>
      </c>
      <c r="C25" s="7">
        <v>4</v>
      </c>
      <c r="D25" s="7">
        <v>0</v>
      </c>
      <c r="E25" s="7">
        <v>27</v>
      </c>
      <c r="F25" s="7">
        <v>3</v>
      </c>
      <c r="G25" s="7">
        <f t="shared" si="0"/>
        <v>6.75</v>
      </c>
      <c r="H25" s="7">
        <v>8</v>
      </c>
      <c r="R25">
        <v>0</v>
      </c>
    </row>
    <row r="26" spans="1:18" ht="18" hidden="1" customHeight="1" x14ac:dyDescent="0.35">
      <c r="A26" s="7">
        <v>5</v>
      </c>
      <c r="B26" s="10" t="s">
        <v>79</v>
      </c>
      <c r="C26" s="9">
        <v>4</v>
      </c>
      <c r="D26" s="9">
        <v>0</v>
      </c>
      <c r="E26" s="9">
        <v>20</v>
      </c>
      <c r="F26" s="9">
        <v>1</v>
      </c>
      <c r="G26" s="7">
        <f t="shared" si="0"/>
        <v>5</v>
      </c>
      <c r="H26" s="9">
        <v>13</v>
      </c>
      <c r="R26">
        <v>0</v>
      </c>
    </row>
    <row r="27" spans="1:18" ht="18" hidden="1" customHeight="1" x14ac:dyDescent="0.35">
      <c r="A27" s="7">
        <v>5</v>
      </c>
      <c r="B27" s="8" t="s">
        <v>78</v>
      </c>
      <c r="C27" s="7">
        <v>4</v>
      </c>
      <c r="D27" s="7">
        <v>0</v>
      </c>
      <c r="E27" s="7">
        <v>24</v>
      </c>
      <c r="F27" s="7">
        <v>4</v>
      </c>
      <c r="G27" s="7">
        <f t="shared" si="0"/>
        <v>6</v>
      </c>
      <c r="H27" s="7">
        <v>13</v>
      </c>
    </row>
    <row r="28" spans="1:18" ht="18" hidden="1" customHeight="1" x14ac:dyDescent="0.35">
      <c r="A28" s="7">
        <v>5</v>
      </c>
      <c r="B28" s="10" t="s">
        <v>62</v>
      </c>
      <c r="C28" s="9">
        <v>4</v>
      </c>
      <c r="D28" s="9">
        <v>0</v>
      </c>
      <c r="E28" s="9">
        <v>38</v>
      </c>
      <c r="F28" s="9">
        <v>2</v>
      </c>
      <c r="G28" s="7">
        <f t="shared" si="0"/>
        <v>9.5</v>
      </c>
      <c r="H28" s="9">
        <v>10</v>
      </c>
    </row>
    <row r="29" spans="1:18" ht="18" hidden="1" customHeight="1" x14ac:dyDescent="0.35">
      <c r="A29" s="7">
        <v>5</v>
      </c>
      <c r="B29" s="8" t="s">
        <v>73</v>
      </c>
      <c r="C29" s="7">
        <v>4</v>
      </c>
      <c r="D29" s="7">
        <v>0</v>
      </c>
      <c r="E29" s="7">
        <v>34</v>
      </c>
      <c r="F29" s="7">
        <v>0</v>
      </c>
      <c r="G29" s="7">
        <f t="shared" si="0"/>
        <v>8.5</v>
      </c>
      <c r="H29" s="7">
        <v>7</v>
      </c>
    </row>
    <row r="30" spans="1:18" ht="18" hidden="1" customHeight="1" x14ac:dyDescent="0.35">
      <c r="A30" s="9">
        <v>6</v>
      </c>
      <c r="B30" s="10" t="s">
        <v>70</v>
      </c>
      <c r="C30" s="9">
        <v>4</v>
      </c>
      <c r="D30" s="9">
        <v>0</v>
      </c>
      <c r="E30" s="9">
        <v>26</v>
      </c>
      <c r="F30" s="9">
        <v>3</v>
      </c>
      <c r="G30" s="7">
        <f t="shared" si="0"/>
        <v>6.5</v>
      </c>
      <c r="H30" s="9">
        <v>8</v>
      </c>
    </row>
    <row r="31" spans="1:18" ht="18" hidden="1" customHeight="1" x14ac:dyDescent="0.35">
      <c r="A31" s="9">
        <v>6</v>
      </c>
      <c r="B31" s="8" t="s">
        <v>79</v>
      </c>
      <c r="C31" s="7">
        <v>4</v>
      </c>
      <c r="D31" s="7">
        <v>0</v>
      </c>
      <c r="E31" s="7">
        <v>38</v>
      </c>
      <c r="F31" s="7">
        <v>0</v>
      </c>
      <c r="G31" s="7">
        <f t="shared" si="0"/>
        <v>9.5</v>
      </c>
      <c r="H31" s="7">
        <v>8</v>
      </c>
    </row>
    <row r="32" spans="1:18" ht="18" hidden="1" customHeight="1" x14ac:dyDescent="0.35">
      <c r="A32" s="9">
        <v>6</v>
      </c>
      <c r="B32" s="10" t="s">
        <v>78</v>
      </c>
      <c r="C32" s="9">
        <v>4</v>
      </c>
      <c r="D32" s="9">
        <v>0</v>
      </c>
      <c r="E32" s="9">
        <v>40</v>
      </c>
      <c r="F32" s="9">
        <v>0</v>
      </c>
      <c r="G32" s="7">
        <f t="shared" si="0"/>
        <v>10</v>
      </c>
      <c r="H32" s="9">
        <v>4</v>
      </c>
    </row>
    <row r="33" spans="1:8" ht="18" hidden="1" customHeight="1" x14ac:dyDescent="0.35">
      <c r="A33" s="9">
        <v>6</v>
      </c>
      <c r="B33" s="8" t="s">
        <v>62</v>
      </c>
      <c r="C33" s="7">
        <v>4</v>
      </c>
      <c r="D33" s="7">
        <v>0</v>
      </c>
      <c r="E33" s="7">
        <v>24</v>
      </c>
      <c r="F33" s="7">
        <v>1</v>
      </c>
      <c r="G33" s="7">
        <f t="shared" si="0"/>
        <v>6</v>
      </c>
      <c r="H33" s="7">
        <v>5</v>
      </c>
    </row>
    <row r="34" spans="1:8" ht="18" hidden="1" customHeight="1" x14ac:dyDescent="0.35">
      <c r="A34" s="9">
        <v>6</v>
      </c>
      <c r="B34" s="10" t="s">
        <v>73</v>
      </c>
      <c r="C34" s="9">
        <v>3</v>
      </c>
      <c r="D34" s="9">
        <v>0</v>
      </c>
      <c r="E34" s="9">
        <v>31</v>
      </c>
      <c r="F34" s="9">
        <v>0</v>
      </c>
      <c r="G34" s="7">
        <f t="shared" si="0"/>
        <v>10.33</v>
      </c>
      <c r="H34" s="9">
        <v>3</v>
      </c>
    </row>
    <row r="35" spans="1:8" ht="18" hidden="1" customHeight="1" x14ac:dyDescent="0.35">
      <c r="A35" s="9">
        <v>6</v>
      </c>
      <c r="B35" s="8" t="s">
        <v>72</v>
      </c>
      <c r="C35" s="7">
        <v>0.5</v>
      </c>
      <c r="D35" s="7">
        <v>0</v>
      </c>
      <c r="E35" s="7">
        <v>17</v>
      </c>
      <c r="F35" s="7">
        <v>0</v>
      </c>
      <c r="G35" s="7">
        <f t="shared" si="0"/>
        <v>20.399999999999999</v>
      </c>
      <c r="H35" s="7">
        <v>1</v>
      </c>
    </row>
    <row r="36" spans="1:8" ht="18" hidden="1" customHeight="1" x14ac:dyDescent="0.35">
      <c r="A36" s="9">
        <v>7</v>
      </c>
      <c r="B36" s="10" t="s">
        <v>70</v>
      </c>
      <c r="C36" s="9">
        <v>4</v>
      </c>
      <c r="D36" s="9">
        <v>0</v>
      </c>
      <c r="E36" s="9">
        <v>31</v>
      </c>
      <c r="F36" s="9">
        <v>1</v>
      </c>
      <c r="G36" s="7">
        <f t="shared" si="0"/>
        <v>7.75</v>
      </c>
      <c r="H36" s="9">
        <v>6</v>
      </c>
    </row>
    <row r="37" spans="1:8" ht="18" hidden="1" customHeight="1" x14ac:dyDescent="0.35">
      <c r="A37" s="9">
        <v>7</v>
      </c>
      <c r="B37" s="8" t="s">
        <v>79</v>
      </c>
      <c r="C37" s="7">
        <v>4</v>
      </c>
      <c r="D37" s="7">
        <v>0</v>
      </c>
      <c r="E37" s="7">
        <v>40</v>
      </c>
      <c r="F37" s="7">
        <v>1</v>
      </c>
      <c r="G37" s="7">
        <f t="shared" si="0"/>
        <v>10</v>
      </c>
      <c r="H37" s="7">
        <v>11</v>
      </c>
    </row>
    <row r="38" spans="1:8" ht="18" hidden="1" customHeight="1" x14ac:dyDescent="0.35">
      <c r="A38" s="9">
        <v>7</v>
      </c>
      <c r="B38" s="10" t="s">
        <v>78</v>
      </c>
      <c r="C38" s="9">
        <v>3</v>
      </c>
      <c r="D38" s="9">
        <v>0</v>
      </c>
      <c r="E38" s="9">
        <v>28</v>
      </c>
      <c r="F38" s="9">
        <v>0</v>
      </c>
      <c r="G38" s="7">
        <f t="shared" si="0"/>
        <v>9.33</v>
      </c>
      <c r="H38" s="9">
        <v>3</v>
      </c>
    </row>
    <row r="39" spans="1:8" ht="18" hidden="1" customHeight="1" x14ac:dyDescent="0.35">
      <c r="A39" s="9">
        <v>7</v>
      </c>
      <c r="B39" s="8" t="s">
        <v>62</v>
      </c>
      <c r="C39" s="7">
        <v>4</v>
      </c>
      <c r="D39" s="7">
        <v>0</v>
      </c>
      <c r="E39" s="7">
        <v>50</v>
      </c>
      <c r="F39" s="7">
        <v>0</v>
      </c>
      <c r="G39" s="7">
        <f t="shared" si="0"/>
        <v>12.5</v>
      </c>
      <c r="H39" s="7">
        <v>4</v>
      </c>
    </row>
    <row r="40" spans="1:8" ht="18" hidden="1" customHeight="1" x14ac:dyDescent="0.35">
      <c r="A40" s="9">
        <v>7</v>
      </c>
      <c r="B40" s="10" t="s">
        <v>72</v>
      </c>
      <c r="C40" s="9">
        <v>1</v>
      </c>
      <c r="D40" s="9">
        <v>0</v>
      </c>
      <c r="E40" s="9">
        <v>17</v>
      </c>
      <c r="F40" s="9">
        <v>0</v>
      </c>
      <c r="G40" s="7">
        <f t="shared" si="0"/>
        <v>17</v>
      </c>
      <c r="H40" s="9">
        <v>0</v>
      </c>
    </row>
    <row r="41" spans="1:8" ht="18" hidden="1" customHeight="1" x14ac:dyDescent="0.35">
      <c r="A41" s="9">
        <v>7</v>
      </c>
      <c r="B41" s="8" t="s">
        <v>73</v>
      </c>
      <c r="C41" s="7">
        <v>4</v>
      </c>
      <c r="D41" s="7">
        <v>0</v>
      </c>
      <c r="E41" s="7">
        <v>36</v>
      </c>
      <c r="F41" s="7">
        <v>1</v>
      </c>
      <c r="G41" s="7">
        <f t="shared" si="0"/>
        <v>9</v>
      </c>
      <c r="H41" s="7">
        <v>5</v>
      </c>
    </row>
    <row r="42" spans="1:8" ht="18" hidden="1" customHeight="1" x14ac:dyDescent="0.35">
      <c r="A42" s="7">
        <v>8</v>
      </c>
      <c r="B42" s="8" t="s">
        <v>70</v>
      </c>
      <c r="C42" s="7">
        <v>3</v>
      </c>
      <c r="D42" s="7">
        <v>0</v>
      </c>
      <c r="E42" s="7">
        <v>5</v>
      </c>
      <c r="F42" s="7">
        <v>3</v>
      </c>
      <c r="G42" s="7">
        <v>1.66</v>
      </c>
      <c r="H42" s="7">
        <v>15</v>
      </c>
    </row>
    <row r="43" spans="1:8" ht="18" hidden="1" customHeight="1" x14ac:dyDescent="0.35">
      <c r="A43" s="7">
        <v>8</v>
      </c>
      <c r="B43" s="10" t="s">
        <v>79</v>
      </c>
      <c r="C43" s="9">
        <v>3.3</v>
      </c>
      <c r="D43" s="9">
        <v>0</v>
      </c>
      <c r="E43" s="9">
        <v>12</v>
      </c>
      <c r="F43" s="9">
        <v>4</v>
      </c>
      <c r="G43" s="9">
        <v>3.42</v>
      </c>
      <c r="H43" s="9">
        <v>15</v>
      </c>
    </row>
    <row r="44" spans="1:8" ht="18" hidden="1" customHeight="1" x14ac:dyDescent="0.35">
      <c r="A44" s="7">
        <v>8</v>
      </c>
      <c r="B44" s="8" t="s">
        <v>78</v>
      </c>
      <c r="C44" s="7">
        <v>2</v>
      </c>
      <c r="D44" s="7">
        <v>0</v>
      </c>
      <c r="E44" s="7">
        <v>21</v>
      </c>
      <c r="F44" s="7">
        <v>1</v>
      </c>
      <c r="G44" s="7">
        <v>10.5</v>
      </c>
      <c r="H44" s="7">
        <v>3</v>
      </c>
    </row>
    <row r="45" spans="1:8" ht="18" hidden="1" customHeight="1" x14ac:dyDescent="0.35">
      <c r="A45" s="7">
        <v>8</v>
      </c>
      <c r="B45" s="10" t="s">
        <v>72</v>
      </c>
      <c r="C45" s="9">
        <v>2</v>
      </c>
      <c r="D45" s="9">
        <v>0</v>
      </c>
      <c r="E45" s="9">
        <v>21</v>
      </c>
      <c r="F45" s="9">
        <v>0</v>
      </c>
      <c r="G45" s="9">
        <v>10.5</v>
      </c>
      <c r="H45" s="9">
        <v>3</v>
      </c>
    </row>
    <row r="46" spans="1:8" ht="18" hidden="1" customHeight="1" x14ac:dyDescent="0.35">
      <c r="A46" s="7">
        <v>8</v>
      </c>
      <c r="B46" s="8" t="s">
        <v>73</v>
      </c>
      <c r="C46" s="7">
        <v>4</v>
      </c>
      <c r="D46" s="7">
        <v>1</v>
      </c>
      <c r="E46" s="7">
        <v>7</v>
      </c>
      <c r="F46" s="7">
        <v>1</v>
      </c>
      <c r="G46" s="7">
        <v>1.75</v>
      </c>
      <c r="H46" s="7">
        <v>20</v>
      </c>
    </row>
    <row r="47" spans="1:8" ht="18" hidden="1" customHeight="1" x14ac:dyDescent="0.35">
      <c r="A47" s="7">
        <v>8</v>
      </c>
      <c r="B47" s="10" t="s">
        <v>62</v>
      </c>
      <c r="C47" s="9">
        <v>2</v>
      </c>
      <c r="D47" s="9">
        <v>0</v>
      </c>
      <c r="E47" s="9">
        <v>9</v>
      </c>
      <c r="F47" s="9">
        <v>1</v>
      </c>
      <c r="G47" s="9">
        <v>4.5</v>
      </c>
      <c r="H47" s="9">
        <v>4</v>
      </c>
    </row>
    <row r="48" spans="1:8" ht="18" hidden="1" customHeight="1" x14ac:dyDescent="0.35">
      <c r="A48" s="7">
        <v>9</v>
      </c>
      <c r="B48" s="8" t="s">
        <v>70</v>
      </c>
      <c r="C48" s="7">
        <v>4</v>
      </c>
      <c r="D48" s="7">
        <v>0</v>
      </c>
      <c r="E48" s="7">
        <v>28</v>
      </c>
      <c r="F48" s="7">
        <v>3</v>
      </c>
      <c r="G48" s="7">
        <v>7</v>
      </c>
      <c r="H48" s="7">
        <v>11</v>
      </c>
    </row>
    <row r="49" spans="1:8" ht="18" hidden="1" customHeight="1" x14ac:dyDescent="0.35">
      <c r="A49" s="7">
        <v>9</v>
      </c>
      <c r="B49" s="10" t="s">
        <v>79</v>
      </c>
      <c r="C49" s="9">
        <v>4</v>
      </c>
      <c r="D49" s="9">
        <v>0</v>
      </c>
      <c r="E49" s="9">
        <v>56</v>
      </c>
      <c r="F49" s="9">
        <v>0</v>
      </c>
      <c r="G49" s="9">
        <v>14</v>
      </c>
      <c r="H49" s="9">
        <v>7</v>
      </c>
    </row>
    <row r="50" spans="1:8" ht="18" hidden="1" customHeight="1" x14ac:dyDescent="0.35">
      <c r="A50" s="7">
        <v>9</v>
      </c>
      <c r="B50" s="8" t="s">
        <v>73</v>
      </c>
      <c r="C50" s="7">
        <v>3.5</v>
      </c>
      <c r="D50" s="7">
        <v>0</v>
      </c>
      <c r="E50" s="7">
        <v>44</v>
      </c>
      <c r="F50" s="7">
        <v>1</v>
      </c>
      <c r="G50" s="7">
        <v>11.47</v>
      </c>
      <c r="H50" s="7">
        <v>5</v>
      </c>
    </row>
    <row r="51" spans="1:8" ht="18" hidden="1" customHeight="1" x14ac:dyDescent="0.35">
      <c r="A51" s="7">
        <v>9</v>
      </c>
      <c r="B51" s="10" t="s">
        <v>72</v>
      </c>
      <c r="C51" s="9">
        <v>4</v>
      </c>
      <c r="D51" s="9">
        <v>0</v>
      </c>
      <c r="E51" s="9">
        <v>30</v>
      </c>
      <c r="F51" s="9">
        <v>2</v>
      </c>
      <c r="G51" s="9">
        <v>7.5</v>
      </c>
      <c r="H51" s="9">
        <v>10</v>
      </c>
    </row>
    <row r="52" spans="1:8" ht="18" hidden="1" customHeight="1" x14ac:dyDescent="0.35">
      <c r="A52" s="7">
        <v>10</v>
      </c>
      <c r="B52" s="8" t="s">
        <v>70</v>
      </c>
      <c r="C52" s="7">
        <v>4</v>
      </c>
      <c r="D52" s="7">
        <v>0</v>
      </c>
      <c r="E52" s="7">
        <v>34</v>
      </c>
      <c r="F52" s="7">
        <v>0</v>
      </c>
      <c r="G52" s="7">
        <v>8.5</v>
      </c>
      <c r="H52" s="7">
        <v>8</v>
      </c>
    </row>
    <row r="53" spans="1:8" ht="18" hidden="1" customHeight="1" x14ac:dyDescent="0.35">
      <c r="A53" s="7">
        <v>10</v>
      </c>
      <c r="B53" s="10" t="s">
        <v>79</v>
      </c>
      <c r="C53" s="9">
        <v>4</v>
      </c>
      <c r="D53" s="9">
        <v>0</v>
      </c>
      <c r="E53" s="9">
        <v>49</v>
      </c>
      <c r="F53" s="9">
        <v>1</v>
      </c>
      <c r="G53" s="9">
        <v>12.25</v>
      </c>
      <c r="H53" s="9">
        <v>9</v>
      </c>
    </row>
    <row r="54" spans="1:8" ht="18" hidden="1" customHeight="1" x14ac:dyDescent="0.35">
      <c r="A54" s="7">
        <v>10</v>
      </c>
      <c r="B54" s="8" t="s">
        <v>62</v>
      </c>
      <c r="C54" s="7">
        <v>4</v>
      </c>
      <c r="D54" s="7">
        <v>0</v>
      </c>
      <c r="E54" s="7">
        <v>31</v>
      </c>
      <c r="F54" s="7">
        <v>1</v>
      </c>
      <c r="G54" s="7">
        <v>7.75</v>
      </c>
      <c r="H54" s="7">
        <v>12</v>
      </c>
    </row>
    <row r="55" spans="1:8" ht="18" hidden="1" customHeight="1" x14ac:dyDescent="0.35">
      <c r="A55" s="7">
        <v>10</v>
      </c>
      <c r="B55" s="10" t="s">
        <v>78</v>
      </c>
      <c r="C55" s="9">
        <v>4</v>
      </c>
      <c r="D55" s="9">
        <v>0</v>
      </c>
      <c r="E55" s="9">
        <v>53</v>
      </c>
      <c r="F55" s="9">
        <v>1</v>
      </c>
      <c r="G55" s="9">
        <v>13.25</v>
      </c>
      <c r="H55" s="9">
        <v>5</v>
      </c>
    </row>
    <row r="56" spans="1:8" ht="18" hidden="1" customHeight="1" x14ac:dyDescent="0.35">
      <c r="A56" s="7">
        <v>10</v>
      </c>
      <c r="B56" s="8" t="s">
        <v>73</v>
      </c>
      <c r="C56" s="7">
        <v>2</v>
      </c>
      <c r="D56" s="7">
        <v>0</v>
      </c>
      <c r="E56" s="7">
        <v>21</v>
      </c>
      <c r="F56" s="7">
        <v>0</v>
      </c>
      <c r="G56" s="7">
        <v>10.5</v>
      </c>
      <c r="H56" s="7">
        <v>2</v>
      </c>
    </row>
    <row r="57" spans="1:8" ht="18" hidden="1" customHeight="1" x14ac:dyDescent="0.35">
      <c r="A57" s="7">
        <v>10</v>
      </c>
      <c r="B57" s="10" t="s">
        <v>72</v>
      </c>
      <c r="C57" s="9">
        <v>1</v>
      </c>
      <c r="D57" s="9">
        <v>0</v>
      </c>
      <c r="E57" s="9">
        <v>16</v>
      </c>
      <c r="F57" s="9">
        <v>0</v>
      </c>
      <c r="G57" s="9">
        <v>16</v>
      </c>
      <c r="H57" s="9">
        <v>2</v>
      </c>
    </row>
    <row r="58" spans="1:8" ht="18" hidden="1" customHeight="1" x14ac:dyDescent="0.35">
      <c r="A58" s="7">
        <v>11</v>
      </c>
      <c r="B58" s="8" t="s">
        <v>70</v>
      </c>
      <c r="C58" s="7">
        <v>4</v>
      </c>
      <c r="D58" s="7">
        <v>0</v>
      </c>
      <c r="E58" s="7">
        <v>23</v>
      </c>
      <c r="F58" s="7">
        <v>4</v>
      </c>
      <c r="G58" s="7">
        <v>5.75</v>
      </c>
      <c r="H58" s="7">
        <v>12</v>
      </c>
    </row>
    <row r="59" spans="1:8" ht="18" hidden="1" customHeight="1" x14ac:dyDescent="0.35">
      <c r="A59" s="7">
        <v>11</v>
      </c>
      <c r="B59" s="10" t="s">
        <v>79</v>
      </c>
      <c r="C59" s="9">
        <v>4</v>
      </c>
      <c r="D59" s="9">
        <v>0</v>
      </c>
      <c r="E59" s="9">
        <v>33</v>
      </c>
      <c r="F59" s="9">
        <v>1</v>
      </c>
      <c r="G59" s="9">
        <v>8.25</v>
      </c>
      <c r="H59" s="9">
        <v>12</v>
      </c>
    </row>
    <row r="60" spans="1:8" ht="18" hidden="1" customHeight="1" x14ac:dyDescent="0.35">
      <c r="A60" s="7">
        <v>11</v>
      </c>
      <c r="B60" s="8" t="s">
        <v>78</v>
      </c>
      <c r="C60" s="7">
        <v>4</v>
      </c>
      <c r="D60" s="7">
        <v>0</v>
      </c>
      <c r="E60" s="7">
        <v>42</v>
      </c>
      <c r="F60" s="7">
        <v>1</v>
      </c>
      <c r="G60" s="7">
        <v>10.5</v>
      </c>
      <c r="H60" s="7">
        <v>6</v>
      </c>
    </row>
    <row r="61" spans="1:8" ht="18" hidden="1" customHeight="1" x14ac:dyDescent="0.35">
      <c r="A61" s="7">
        <v>11</v>
      </c>
      <c r="B61" s="10" t="s">
        <v>72</v>
      </c>
      <c r="C61" s="9">
        <v>3</v>
      </c>
      <c r="D61" s="9">
        <v>0</v>
      </c>
      <c r="E61" s="9">
        <v>18</v>
      </c>
      <c r="F61" s="9">
        <v>1</v>
      </c>
      <c r="G61" s="9">
        <v>6</v>
      </c>
      <c r="H61" s="9">
        <v>8</v>
      </c>
    </row>
    <row r="62" spans="1:8" ht="18" hidden="1" customHeight="1" x14ac:dyDescent="0.35">
      <c r="A62" s="7">
        <v>11</v>
      </c>
      <c r="B62" s="8" t="s">
        <v>62</v>
      </c>
      <c r="C62" s="7">
        <v>3</v>
      </c>
      <c r="D62" s="7">
        <v>0</v>
      </c>
      <c r="E62" s="7">
        <v>26</v>
      </c>
      <c r="F62" s="7">
        <v>0</v>
      </c>
      <c r="G62" s="7">
        <v>8.66</v>
      </c>
      <c r="H62" s="7">
        <v>1</v>
      </c>
    </row>
    <row r="63" spans="1:8" ht="18" hidden="1" customHeight="1" x14ac:dyDescent="0.35">
      <c r="A63" s="7">
        <v>11</v>
      </c>
      <c r="B63" s="10" t="s">
        <v>73</v>
      </c>
      <c r="C63" s="9">
        <v>2</v>
      </c>
      <c r="D63" s="9">
        <v>0</v>
      </c>
      <c r="E63" s="9">
        <v>21</v>
      </c>
      <c r="F63" s="9">
        <v>0</v>
      </c>
      <c r="G63" s="9">
        <v>10.5</v>
      </c>
      <c r="H63" s="9">
        <v>1</v>
      </c>
    </row>
    <row r="64" spans="1:8" ht="18" hidden="1" customHeight="1" x14ac:dyDescent="0.35">
      <c r="A64" s="7">
        <v>12</v>
      </c>
      <c r="B64" s="8" t="s">
        <v>70</v>
      </c>
      <c r="C64" s="7">
        <v>4</v>
      </c>
      <c r="D64" s="7">
        <v>0</v>
      </c>
      <c r="E64" s="7">
        <v>34</v>
      </c>
      <c r="F64" s="7">
        <v>1</v>
      </c>
      <c r="G64" s="7">
        <v>8.5</v>
      </c>
      <c r="H64" s="7">
        <v>9</v>
      </c>
    </row>
    <row r="65" spans="1:8" ht="18" hidden="1" customHeight="1" x14ac:dyDescent="0.35">
      <c r="A65" s="7">
        <v>12</v>
      </c>
      <c r="B65" s="10" t="s">
        <v>69</v>
      </c>
      <c r="C65" s="9">
        <v>4</v>
      </c>
      <c r="D65" s="9">
        <v>0</v>
      </c>
      <c r="E65" s="9">
        <v>48</v>
      </c>
      <c r="F65" s="9">
        <v>0</v>
      </c>
      <c r="G65" s="9">
        <v>12</v>
      </c>
      <c r="H65" s="9">
        <v>9</v>
      </c>
    </row>
    <row r="66" spans="1:8" ht="18" hidden="1" customHeight="1" x14ac:dyDescent="0.35">
      <c r="A66" s="7">
        <v>12</v>
      </c>
      <c r="B66" s="8" t="s">
        <v>79</v>
      </c>
      <c r="C66" s="7">
        <v>4</v>
      </c>
      <c r="D66" s="7">
        <v>0</v>
      </c>
      <c r="E66" s="7">
        <v>35</v>
      </c>
      <c r="F66" s="7">
        <v>1</v>
      </c>
      <c r="G66" s="7">
        <v>8.75</v>
      </c>
      <c r="H66" s="7">
        <v>8</v>
      </c>
    </row>
    <row r="67" spans="1:8" ht="18" hidden="1" customHeight="1" x14ac:dyDescent="0.35">
      <c r="A67" s="7">
        <v>12</v>
      </c>
      <c r="B67" s="10" t="s">
        <v>78</v>
      </c>
      <c r="C67" s="9">
        <v>4</v>
      </c>
      <c r="D67" s="9">
        <v>0</v>
      </c>
      <c r="E67" s="9">
        <v>35</v>
      </c>
      <c r="F67" s="9">
        <v>1</v>
      </c>
      <c r="G67" s="9">
        <v>8.75</v>
      </c>
      <c r="H67" s="9">
        <v>6</v>
      </c>
    </row>
    <row r="68" spans="1:8" ht="18" hidden="1" customHeight="1" x14ac:dyDescent="0.35">
      <c r="A68" s="7">
        <v>12</v>
      </c>
      <c r="B68" s="8" t="s">
        <v>62</v>
      </c>
      <c r="C68" s="7">
        <v>4</v>
      </c>
      <c r="D68" s="7">
        <v>0</v>
      </c>
      <c r="E68" s="7">
        <v>39</v>
      </c>
      <c r="F68" s="7">
        <v>0</v>
      </c>
      <c r="G68" s="7">
        <v>9.75</v>
      </c>
      <c r="H68" s="7">
        <v>5</v>
      </c>
    </row>
    <row r="69" spans="1:8" ht="16" hidden="1" x14ac:dyDescent="0.35">
      <c r="A69" s="7">
        <v>13</v>
      </c>
      <c r="B69" s="10" t="s">
        <v>70</v>
      </c>
      <c r="C69" s="9">
        <v>4</v>
      </c>
      <c r="D69" s="9">
        <v>0</v>
      </c>
      <c r="E69" s="9">
        <v>38</v>
      </c>
      <c r="F69" s="9">
        <v>2</v>
      </c>
      <c r="G69" s="9">
        <v>9.5</v>
      </c>
      <c r="H69" s="9">
        <v>10</v>
      </c>
    </row>
    <row r="70" spans="1:8" ht="16" hidden="1" x14ac:dyDescent="0.35">
      <c r="A70" s="7">
        <v>13</v>
      </c>
      <c r="B70" s="8" t="s">
        <v>79</v>
      </c>
      <c r="C70" s="7">
        <v>4</v>
      </c>
      <c r="D70" s="7">
        <v>0</v>
      </c>
      <c r="E70" s="7">
        <v>36</v>
      </c>
      <c r="F70" s="7">
        <v>1</v>
      </c>
      <c r="G70" s="7">
        <v>9</v>
      </c>
      <c r="H70" s="7">
        <v>10</v>
      </c>
    </row>
    <row r="71" spans="1:8" ht="16" hidden="1" x14ac:dyDescent="0.35">
      <c r="A71" s="7">
        <v>13</v>
      </c>
      <c r="B71" s="10" t="s">
        <v>78</v>
      </c>
      <c r="C71" s="9">
        <v>4</v>
      </c>
      <c r="D71" s="9">
        <v>0</v>
      </c>
      <c r="E71" s="9">
        <v>36</v>
      </c>
      <c r="F71" s="9">
        <v>3</v>
      </c>
      <c r="G71" s="9">
        <v>9</v>
      </c>
      <c r="H71" s="9">
        <v>12</v>
      </c>
    </row>
    <row r="72" spans="1:8" ht="16" hidden="1" x14ac:dyDescent="0.35">
      <c r="A72" s="7">
        <v>13</v>
      </c>
      <c r="B72" s="8" t="s">
        <v>73</v>
      </c>
      <c r="C72" s="7">
        <v>4</v>
      </c>
      <c r="D72" s="7">
        <v>0</v>
      </c>
      <c r="E72" s="7">
        <v>50</v>
      </c>
      <c r="F72" s="7">
        <v>1</v>
      </c>
      <c r="G72" s="7">
        <v>12.5</v>
      </c>
      <c r="H72" s="7">
        <v>3</v>
      </c>
    </row>
    <row r="73" spans="1:8" ht="16" hidden="1" x14ac:dyDescent="0.35">
      <c r="A73" s="7">
        <v>13</v>
      </c>
      <c r="B73" s="10" t="s">
        <v>72</v>
      </c>
      <c r="C73" s="9">
        <v>1</v>
      </c>
      <c r="D73" s="9">
        <v>0</v>
      </c>
      <c r="E73" s="9">
        <v>8</v>
      </c>
      <c r="F73" s="9">
        <v>1</v>
      </c>
      <c r="G73" s="9">
        <v>8</v>
      </c>
      <c r="H73" s="9">
        <v>2</v>
      </c>
    </row>
    <row r="74" spans="1:8" ht="16" hidden="1" x14ac:dyDescent="0.35">
      <c r="A74" s="7">
        <v>13</v>
      </c>
      <c r="B74" s="8" t="s">
        <v>62</v>
      </c>
      <c r="C74" s="7">
        <v>3</v>
      </c>
      <c r="D74" s="7">
        <v>0</v>
      </c>
      <c r="E74" s="7">
        <v>27</v>
      </c>
      <c r="F74" s="7">
        <v>0</v>
      </c>
      <c r="G74" s="7">
        <v>9</v>
      </c>
      <c r="H74" s="7">
        <v>1</v>
      </c>
    </row>
    <row r="75" spans="1:8" ht="16" hidden="1" x14ac:dyDescent="0.35">
      <c r="A75" s="7">
        <v>14</v>
      </c>
      <c r="B75" s="8" t="s">
        <v>70</v>
      </c>
      <c r="C75" s="7">
        <v>4</v>
      </c>
      <c r="D75" s="7">
        <v>0</v>
      </c>
      <c r="E75" s="7">
        <v>51</v>
      </c>
      <c r="F75" s="7">
        <v>0</v>
      </c>
      <c r="G75" s="7">
        <v>12.75</v>
      </c>
      <c r="H75" s="7">
        <v>5</v>
      </c>
    </row>
    <row r="76" spans="1:8" ht="16" hidden="1" x14ac:dyDescent="0.35">
      <c r="A76" s="7">
        <v>14</v>
      </c>
      <c r="B76" s="10" t="s">
        <v>79</v>
      </c>
      <c r="C76" s="9">
        <v>4</v>
      </c>
      <c r="D76" s="9">
        <v>0</v>
      </c>
      <c r="E76" s="9">
        <v>55</v>
      </c>
      <c r="F76" s="9">
        <v>0</v>
      </c>
      <c r="G76" s="9">
        <v>13.75</v>
      </c>
      <c r="H76" s="9">
        <v>5</v>
      </c>
    </row>
    <row r="77" spans="1:8" ht="16" hidden="1" x14ac:dyDescent="0.35">
      <c r="A77" s="7">
        <v>14</v>
      </c>
      <c r="B77" s="8" t="s">
        <v>78</v>
      </c>
      <c r="C77" s="7">
        <v>4</v>
      </c>
      <c r="D77" s="7">
        <v>0</v>
      </c>
      <c r="E77" s="7">
        <v>52</v>
      </c>
      <c r="F77" s="7">
        <v>2</v>
      </c>
      <c r="G77" s="7">
        <v>13</v>
      </c>
      <c r="H77" s="7">
        <v>6</v>
      </c>
    </row>
    <row r="78" spans="1:8" ht="16" hidden="1" x14ac:dyDescent="0.35">
      <c r="A78" s="7">
        <v>14</v>
      </c>
      <c r="B78" s="10" t="s">
        <v>73</v>
      </c>
      <c r="C78" s="9">
        <v>3</v>
      </c>
      <c r="D78" s="9">
        <v>0</v>
      </c>
      <c r="E78" s="9">
        <v>36</v>
      </c>
      <c r="F78" s="9">
        <v>1</v>
      </c>
      <c r="G78" s="9">
        <v>12</v>
      </c>
      <c r="H78" s="9">
        <v>6</v>
      </c>
    </row>
    <row r="79" spans="1:8" ht="16" hidden="1" x14ac:dyDescent="0.35">
      <c r="A79" s="7">
        <v>14</v>
      </c>
      <c r="B79" s="8" t="s">
        <v>72</v>
      </c>
      <c r="C79" s="7">
        <v>3</v>
      </c>
      <c r="D79" s="7">
        <v>0</v>
      </c>
      <c r="E79" s="7">
        <v>37</v>
      </c>
      <c r="F79" s="7">
        <v>0</v>
      </c>
      <c r="G79" s="7">
        <v>12.33</v>
      </c>
      <c r="H79" s="7">
        <v>2</v>
      </c>
    </row>
    <row r="80" spans="1:8" ht="16" hidden="1" x14ac:dyDescent="0.35">
      <c r="A80" s="7">
        <v>14</v>
      </c>
      <c r="B80" s="10" t="s">
        <v>62</v>
      </c>
      <c r="C80" s="9">
        <v>2</v>
      </c>
      <c r="D80" s="9">
        <v>0</v>
      </c>
      <c r="E80" s="9">
        <v>24</v>
      </c>
      <c r="F80" s="9">
        <v>1</v>
      </c>
      <c r="G80" s="9">
        <v>12</v>
      </c>
      <c r="H80" s="9">
        <v>5</v>
      </c>
    </row>
    <row r="81" spans="1:8" ht="16" x14ac:dyDescent="0.35">
      <c r="A81" s="7"/>
      <c r="B81" s="8"/>
      <c r="C81" s="7"/>
      <c r="D81" s="7"/>
      <c r="E81" s="7"/>
      <c r="F81" s="7"/>
      <c r="G81" s="7"/>
      <c r="H81" s="7"/>
    </row>
    <row r="82" spans="1:8" ht="16" x14ac:dyDescent="0.35">
      <c r="A82" s="7"/>
      <c r="B82" s="8"/>
      <c r="C82" s="7"/>
      <c r="D82" s="7"/>
      <c r="E82" s="7"/>
      <c r="F82" s="7"/>
      <c r="G82" s="7"/>
      <c r="H82" s="7"/>
    </row>
  </sheetData>
  <autoFilter ref="B1:H80" xr:uid="{00000000-0001-0000-0200-000000000000}">
    <filterColumn colId="0">
      <filters>
        <filter val="Tim David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workbookViewId="0">
      <pane ySplit="1" topLeftCell="A20" activePane="bottomLeft" state="frozen"/>
      <selection pane="bottomLeft" activeCell="C2" sqref="C2"/>
    </sheetView>
  </sheetViews>
  <sheetFormatPr defaultRowHeight="14.5" x14ac:dyDescent="0.35"/>
  <cols>
    <col min="1" max="1" width="12" customWidth="1"/>
    <col min="2" max="2" width="10" customWidth="1"/>
    <col min="3" max="3" width="12" customWidth="1"/>
  </cols>
  <sheetData>
    <row r="1" spans="1:3" ht="28" customHeight="1" x14ac:dyDescent="0.35">
      <c r="A1" s="2" t="s">
        <v>0</v>
      </c>
      <c r="B1" s="2" t="s">
        <v>13</v>
      </c>
      <c r="C1" s="2" t="s">
        <v>16</v>
      </c>
    </row>
    <row r="2" spans="1:3" ht="18" customHeight="1" x14ac:dyDescent="0.35">
      <c r="A2" s="7">
        <v>1</v>
      </c>
      <c r="B2" s="7">
        <v>2</v>
      </c>
      <c r="C2" s="7">
        <v>2.91</v>
      </c>
    </row>
    <row r="3" spans="1:3" ht="18" customHeight="1" x14ac:dyDescent="0.35">
      <c r="A3" s="9">
        <v>2</v>
      </c>
      <c r="B3" s="9">
        <v>4</v>
      </c>
      <c r="C3" s="9">
        <v>2.67</v>
      </c>
    </row>
    <row r="4" spans="1:3" ht="18" customHeight="1" x14ac:dyDescent="0.35">
      <c r="A4" s="7">
        <v>3</v>
      </c>
      <c r="B4" s="7">
        <v>4</v>
      </c>
      <c r="C4" s="7">
        <v>1.02</v>
      </c>
    </row>
    <row r="5" spans="1:3" ht="18" customHeight="1" x14ac:dyDescent="0.35">
      <c r="A5" s="9">
        <v>4</v>
      </c>
      <c r="B5" s="9">
        <v>6</v>
      </c>
      <c r="C5" s="9">
        <v>1.44</v>
      </c>
    </row>
    <row r="6" spans="1:3" ht="18" customHeight="1" x14ac:dyDescent="0.35">
      <c r="A6" s="7">
        <v>5</v>
      </c>
      <c r="B6" s="7">
        <v>8</v>
      </c>
      <c r="C6" s="7">
        <v>1.71</v>
      </c>
    </row>
    <row r="7" spans="1:3" ht="18" customHeight="1" x14ac:dyDescent="0.35">
      <c r="A7" s="9">
        <v>6</v>
      </c>
      <c r="B7" s="9">
        <v>8</v>
      </c>
      <c r="C7" s="9">
        <v>0.94</v>
      </c>
    </row>
    <row r="8" spans="1:3" ht="18" customHeight="1" x14ac:dyDescent="0.35">
      <c r="A8" s="7">
        <v>7</v>
      </c>
      <c r="B8" s="7">
        <v>10</v>
      </c>
      <c r="C8" s="7">
        <v>1.1000000000000001</v>
      </c>
    </row>
    <row r="9" spans="1:3" ht="18" customHeight="1" x14ac:dyDescent="0.35">
      <c r="A9" s="9">
        <v>8</v>
      </c>
      <c r="B9" s="9">
        <v>12</v>
      </c>
      <c r="C9" s="9">
        <v>1.78</v>
      </c>
    </row>
    <row r="10" spans="1:3" ht="18" customHeight="1" x14ac:dyDescent="0.35">
      <c r="A10" s="7">
        <v>9</v>
      </c>
      <c r="B10" s="7">
        <v>12</v>
      </c>
      <c r="C10" s="7">
        <v>0.92</v>
      </c>
    </row>
    <row r="11" spans="1:3" ht="18" customHeight="1" x14ac:dyDescent="0.35">
      <c r="A11" s="9">
        <v>10</v>
      </c>
      <c r="B11" s="9">
        <v>12</v>
      </c>
      <c r="C11" s="9">
        <v>-0.3</v>
      </c>
    </row>
    <row r="12" spans="1:3" ht="18" customHeight="1" x14ac:dyDescent="0.35">
      <c r="A12" s="7">
        <v>11</v>
      </c>
      <c r="B12" s="7">
        <v>14</v>
      </c>
      <c r="C12" s="7">
        <v>1.05</v>
      </c>
    </row>
    <row r="13" spans="1:3" ht="18" customHeight="1" x14ac:dyDescent="0.35">
      <c r="A13" s="9">
        <v>12</v>
      </c>
      <c r="B13" s="9">
        <v>16</v>
      </c>
      <c r="C13" s="9">
        <v>1.2</v>
      </c>
    </row>
    <row r="14" spans="1:3" ht="18" customHeight="1" x14ac:dyDescent="0.35">
      <c r="A14" s="7">
        <v>13</v>
      </c>
      <c r="B14" s="7">
        <v>18</v>
      </c>
      <c r="C14" s="7">
        <v>1.45</v>
      </c>
    </row>
    <row r="15" spans="1:3" ht="18" customHeight="1" x14ac:dyDescent="0.35">
      <c r="A15" s="9">
        <v>14</v>
      </c>
      <c r="B15" s="9">
        <v>18</v>
      </c>
      <c r="C15" s="9">
        <v>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 Summary </vt:lpstr>
      <vt:lpstr>Batting Scorecard</vt:lpstr>
      <vt:lpstr>Bowling Scorecard</vt:lpstr>
      <vt:lpstr>Points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Saiyam Singh</dc:creator>
  <cp:lastModifiedBy>Saiyam Singh</cp:lastModifiedBy>
  <dcterms:created xsi:type="dcterms:W3CDTF">2026-05-29T12:45:19Z</dcterms:created>
  <dcterms:modified xsi:type="dcterms:W3CDTF">2026-06-01T22:44:55Z</dcterms:modified>
</cp:coreProperties>
</file>